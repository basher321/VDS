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C:\Users\USER\Desktop\"/>
    </mc:Choice>
  </mc:AlternateContent>
  <xr:revisionPtr revIDLastSave="0" documentId="13_ncr:1_{C6FBFD99-7A42-4F95-AB8A-CF98CAF3421D}" xr6:coauthVersionLast="47" xr6:coauthVersionMax="47" xr10:uidLastSave="{00000000-0000-0000-0000-000000000000}"/>
  <bookViews>
    <workbookView xWindow="-110" yWindow="-110" windowWidth="19420" windowHeight="10300" tabRatio="908" firstSheet="8" activeTab="8" xr2:uid="{00000000-000D-0000-FFFF-FFFF00000000}"/>
  </bookViews>
  <sheets>
    <sheet name="Cleaning Service (Lily)" sheetId="112" state="hidden" r:id="rId1"/>
    <sheet name="Service Charge" sheetId="114" state="hidden" r:id="rId2"/>
    <sheet name="Mohammad Ali" sheetId="123" state="hidden" r:id="rId3"/>
    <sheet name="Repairing or Servicing-Electra" sheetId="124" state="hidden" r:id="rId4"/>
    <sheet name="Cleaning Service (Anika)" sheetId="34" state="hidden" r:id="rId5"/>
    <sheet name="BRACNet" sheetId="122" state="hidden" r:id="rId6"/>
    <sheet name="Computer Expense" sheetId="125" state="hidden" r:id="rId7"/>
    <sheet name="BD Graph" sheetId="126" state="hidden" r:id="rId8"/>
    <sheet name="sample VDS_format" sheetId="75" r:id="rId9"/>
  </sheets>
  <definedNames>
    <definedName name="_xlnm._FilterDatabase" localSheetId="8" hidden="1">'sample VDS_format'!$A$3:$J$3</definedName>
    <definedName name="_xlnm.Print_Area" localSheetId="7">'BD Graph'!$A$1:$J$66</definedName>
    <definedName name="_xlnm.Print_Area" localSheetId="5">BRACNet!$A$1:$J$64</definedName>
    <definedName name="_xlnm.Print_Area" localSheetId="0">'Cleaning Service (Lily)'!$A$1:$J$66</definedName>
    <definedName name="_xlnm.Print_Area" localSheetId="6">'Computer Expense'!$A$1:$J$64</definedName>
    <definedName name="_xlnm.Print_Area" localSheetId="2">'Mohammad Ali'!$A$1:$J$64</definedName>
    <definedName name="_xlnm.Print_Area" localSheetId="3">'Repairing or Servicing-Electra'!$A$1:$J$64</definedName>
    <definedName name="_xlnm.Print_Area" localSheetId="8">'sample VDS_format'!$A$1:$M$5</definedName>
    <definedName name="_xlnm.Print_Area" localSheetId="1">'Service Charge'!$A$1:$J$66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5" i="125" l="1"/>
  <c r="C15" i="124"/>
  <c r="C15" i="123"/>
  <c r="C15" i="122"/>
  <c r="B25" i="124"/>
  <c r="I25" i="112"/>
  <c r="G25" i="112"/>
  <c r="F25" i="112"/>
  <c r="E25" i="112"/>
  <c r="D25" i="112"/>
  <c r="C25" i="112"/>
  <c r="B25" i="112"/>
  <c r="I25" i="126"/>
  <c r="I31" i="126" s="1"/>
  <c r="H25" i="126"/>
  <c r="G25" i="126"/>
  <c r="F25" i="126"/>
  <c r="E25" i="126"/>
  <c r="D25" i="126"/>
  <c r="C25" i="126"/>
  <c r="B25" i="126"/>
  <c r="H31" i="126"/>
  <c r="J15" i="126"/>
  <c r="C15" i="126"/>
  <c r="I25" i="125"/>
  <c r="I31" i="125" s="1"/>
  <c r="E25" i="125"/>
  <c r="D25" i="125"/>
  <c r="C25" i="125"/>
  <c r="B25" i="125"/>
  <c r="J15" i="125"/>
  <c r="I25" i="124"/>
  <c r="I31" i="124" s="1"/>
  <c r="G25" i="124"/>
  <c r="F25" i="124"/>
  <c r="E25" i="124"/>
  <c r="D25" i="124"/>
  <c r="C25" i="124"/>
  <c r="J15" i="124"/>
  <c r="I25" i="123"/>
  <c r="I31" i="123" s="1"/>
  <c r="G25" i="123"/>
  <c r="F25" i="123"/>
  <c r="E25" i="123"/>
  <c r="D25" i="123"/>
  <c r="C25" i="123"/>
  <c r="B25" i="123"/>
  <c r="J15" i="123"/>
  <c r="I25" i="122"/>
  <c r="E25" i="122"/>
  <c r="D25" i="122"/>
  <c r="C25" i="122"/>
  <c r="B25" i="122"/>
  <c r="H25" i="125"/>
  <c r="H31" i="125" s="1"/>
  <c r="H25" i="124"/>
  <c r="H31" i="124" s="1"/>
  <c r="H25" i="123"/>
  <c r="H31" i="123" s="1"/>
  <c r="J25" i="126" l="1"/>
  <c r="J25" i="125"/>
  <c r="J25" i="124"/>
  <c r="J25" i="123"/>
  <c r="I31" i="122" l="1"/>
  <c r="J15" i="122"/>
  <c r="H25" i="122"/>
  <c r="J4" i="75"/>
  <c r="H31" i="122" l="1"/>
  <c r="J25" i="122"/>
  <c r="H4" i="75" l="1"/>
  <c r="H25" i="112" s="1"/>
  <c r="J15" i="34" l="1"/>
  <c r="E25" i="34"/>
  <c r="D25" i="34"/>
  <c r="J15" i="114"/>
  <c r="J15" i="112"/>
  <c r="I25" i="114" l="1"/>
  <c r="I31" i="114" s="1"/>
  <c r="J25" i="114" s="1"/>
  <c r="G25" i="114"/>
  <c r="F25" i="114"/>
  <c r="E25" i="114"/>
  <c r="D25" i="114"/>
  <c r="C25" i="114"/>
  <c r="B25" i="114"/>
  <c r="C15" i="114"/>
  <c r="I31" i="112"/>
  <c r="J25" i="112" s="1"/>
  <c r="C15" i="112"/>
  <c r="C15" i="34"/>
  <c r="I25" i="34"/>
  <c r="G25" i="34"/>
  <c r="F25" i="34"/>
  <c r="C25" i="34"/>
  <c r="B25" i="34"/>
  <c r="I31" i="34" l="1"/>
  <c r="J25" i="34" s="1"/>
  <c r="H25" i="114" l="1"/>
  <c r="H31" i="114" l="1"/>
  <c r="H31" i="112"/>
  <c r="H25" i="34"/>
  <c r="H31" i="34" s="1"/>
</calcChain>
</file>

<file path=xl/sharedStrings.xml><?xml version="1.0" encoding="utf-8"?>
<sst xmlns="http://schemas.openxmlformats.org/spreadsheetml/2006/main" count="292" uniqueCount="59">
  <si>
    <t>Government of the Peoples Republic of Bangladesh</t>
  </si>
  <si>
    <t>National Board of Revenue</t>
  </si>
  <si>
    <t>Withholding Tax Certificate</t>
  </si>
  <si>
    <t>(See clause (Cha) of Sub- Rule (1) of Rule 40)</t>
  </si>
  <si>
    <t>This is to certify that VAT has been deducted at source from the supplies having VAT deductible at source in accordance with Section 49 of the Act. The VAT so deducted has been deposited in the government treasury by book transfer/ treasury challan/ increasing adjustment in the return. A copy has been attached (if applicable).</t>
  </si>
  <si>
    <t xml:space="preserve">Certificate No:     </t>
  </si>
  <si>
    <t xml:space="preserve">Officer-in-Charge </t>
  </si>
  <si>
    <t>Signature</t>
  </si>
  <si>
    <t>*Price inclusive of VAT and SD (if any).</t>
  </si>
  <si>
    <t>Total Value
of Supply*</t>
  </si>
  <si>
    <t xml:space="preserve">BIN of withholding entity (if applicable)       </t>
  </si>
  <si>
    <t xml:space="preserve">Address of withholding entity                        </t>
  </si>
  <si>
    <t xml:space="preserve">Name  of  withholding  entity                         </t>
  </si>
  <si>
    <t>SL NO</t>
  </si>
  <si>
    <t>Supplier</t>
  </si>
  <si>
    <t>Treasury Challan</t>
  </si>
  <si>
    <t>Amount of VAT withheld  at source (Taka)</t>
  </si>
  <si>
    <t>Name</t>
  </si>
  <si>
    <t>BIN</t>
  </si>
  <si>
    <t>Number</t>
  </si>
  <si>
    <t>Date</t>
  </si>
  <si>
    <t>Total</t>
  </si>
  <si>
    <r>
      <rPr>
        <b/>
        <sz val="8"/>
        <rFont val="Garamond"/>
        <family val="1"/>
      </rPr>
      <t>Concerned
tax invoice</t>
    </r>
  </si>
  <si>
    <r>
      <rPr>
        <b/>
        <sz val="8"/>
        <rFont val="Garamond"/>
        <family val="1"/>
      </rPr>
      <t>Amount of VAT
(Taka)</t>
    </r>
  </si>
  <si>
    <t>Mushok-6.6</t>
  </si>
  <si>
    <t>Sub Form for Note 24 (VAT Deducted at Source from Suppliers)</t>
  </si>
  <si>
    <t>SL</t>
  </si>
  <si>
    <t>Supplier's Name</t>
  </si>
  <si>
    <t>Supplier's BIN</t>
  </si>
  <si>
    <t>Tax Deposit Serial No.of Bank transfer</t>
  </si>
  <si>
    <t>Tax Deposit Date</t>
  </si>
  <si>
    <t>Deducted VAT</t>
  </si>
  <si>
    <t>Concerned Invoiced number</t>
  </si>
  <si>
    <t>Invoice/Challan/Bill date</t>
  </si>
  <si>
    <t>Value (Including VAT)</t>
  </si>
  <si>
    <t>Value (Excluding VAT)</t>
  </si>
  <si>
    <t>VAT Rate</t>
  </si>
  <si>
    <t xml:space="preserve"> : Xpert Fintech Ltd.</t>
  </si>
  <si>
    <t xml:space="preserve"> : Saiham Sky View Tower, 45, Bijoynagar, Dhaka-1000</t>
  </si>
  <si>
    <t xml:space="preserve"> : 004870109-0208</t>
  </si>
  <si>
    <t>Md. Abdur Rahman Rony ACS</t>
  </si>
  <si>
    <t>CFO &amp; Company Secrerary</t>
  </si>
  <si>
    <t>Mushak-6.6 Number</t>
  </si>
  <si>
    <t xml:space="preserve">Date of Issue: </t>
  </si>
  <si>
    <t>Notes</t>
  </si>
  <si>
    <t>is paid through treasury challan no. 2324-0016535736 Dated 13/11/2023 which amounts to BDT 337.50</t>
  </si>
  <si>
    <t>is paid through treasury challan no. 2324-0019980322 Dated 10/12/2023 which amounts to BDT 475.00</t>
  </si>
  <si>
    <t>is paid through treasury challan no. 2324-0019985624 Dated 10/12/2023 which amounts to BDT 653.10</t>
  </si>
  <si>
    <t>is paid through treasury challan no. 2324-0019986308 Dated 10/12/2023 which amounts to BDT 48.75</t>
  </si>
  <si>
    <t>is paid through treasury challan no. 2324-0023765273 Dated 14/01/2024 which amounts to BDT 1085.00</t>
  </si>
  <si>
    <t>is paid through treasury challan no. 2324-0023767340 Dated 14/01/2024 which amounts to BDT 60.00</t>
  </si>
  <si>
    <t>is paid through treasury challan no. 2324-0023767062 Dated 14/01/2024 which amounts to BDT 30000.00</t>
  </si>
  <si>
    <t>is paid through treasury challan no. 2324-0023834864 Dated 14/01/2024 which amounts to BDT 650.00</t>
  </si>
  <si>
    <t>e.g. 4562367890175</t>
  </si>
  <si>
    <t>e.g. XYZ Limited</t>
  </si>
  <si>
    <t>MM/DD/YYYY</t>
  </si>
  <si>
    <t>e.g. XXXX-0023778273</t>
  </si>
  <si>
    <t>e.g. Month_001</t>
  </si>
  <si>
    <t xml:space="preserve">e.g. mention the service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</si>
</sst>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409]d\-mmm\-yy;@"/>
    <numFmt numFmtId="166" formatCode="[$-14809]d\ mmm\ yyyy;@"/>
    <numFmt numFmtId="167" formatCode="[$-409]dd\-mmm\-yy;@"/>
  </numFmts>
  <fonts count="18" x14ac:knownFonts="1">
    <font>
      <sz val="10"/>
      <color rgb="FF000000"/>
      <name val="Times New Roman"/>
      <charset val="204"/>
    </font>
    <font>
      <sz val="11"/>
      <color theme="1"/>
      <name val="Calibri"/>
      <family val="2"/>
      <scheme val="minor"/>
    </font>
    <font>
      <b/>
      <sz val="10"/>
      <color rgb="FF000000"/>
      <name val="Garamond"/>
      <family val="1"/>
    </font>
    <font>
      <sz val="10"/>
      <color rgb="FF000000"/>
      <name val="Garamond"/>
      <family val="1"/>
    </font>
    <font>
      <b/>
      <sz val="8"/>
      <name val="Garamond"/>
      <family val="1"/>
    </font>
    <font>
      <sz val="9"/>
      <name val="Garamond"/>
      <family val="1"/>
    </font>
    <font>
      <sz val="9"/>
      <color rgb="FF000000"/>
      <name val="Garamond"/>
      <family val="1"/>
    </font>
    <font>
      <b/>
      <sz val="9"/>
      <color rgb="FF000000"/>
      <name val="Garamond"/>
      <family val="1"/>
    </font>
    <font>
      <sz val="10"/>
      <color rgb="FF000000"/>
      <name val="Times New Roman"/>
      <family val="1"/>
    </font>
    <font>
      <sz val="11"/>
      <color rgb="FF000000"/>
      <name val="Garamond"/>
      <family val="1"/>
    </font>
    <font>
      <sz val="11"/>
      <name val="Garamond"/>
      <family val="1"/>
    </font>
    <font>
      <b/>
      <u/>
      <sz val="10"/>
      <color rgb="FF000000"/>
      <name val="Garamond"/>
      <family val="1"/>
    </font>
    <font>
      <sz val="13"/>
      <color theme="1"/>
      <name val="Calibri"/>
      <family val="2"/>
      <scheme val="minor"/>
    </font>
    <font>
      <b/>
      <sz val="13"/>
      <color theme="1"/>
      <name val="Calibri"/>
      <family val="2"/>
      <scheme val="minor"/>
    </font>
    <font>
      <b/>
      <sz val="11"/>
      <name val="Garamond"/>
      <family val="1"/>
    </font>
    <font>
      <b/>
      <sz val="11"/>
      <color rgb="FF000000"/>
      <name val="Garamond"/>
      <family val="1"/>
    </font>
    <font>
      <sz val="8"/>
      <name val="Times New Roman"/>
      <family val="1"/>
    </font>
    <font>
      <sz val="10"/>
      <name val="Garamond"/>
      <family val="1"/>
    </font>
  </fonts>
  <fills count="4">
    <fill>
      <patternFill patternType="none"/>
    </fill>
    <fill>
      <patternFill patternType="gray125"/>
    </fill>
    <fill>
      <patternFill patternType="solid">
        <fgColor theme="0"/>
        <bgColor indexed="64"/>
      </patternFill>
    </fill>
    <fill>
      <patternFill patternType="solid">
        <fgColor theme="8" tint="0.79998168889431442"/>
        <bgColor indexed="64"/>
      </patternFill>
    </fill>
  </fills>
  <borders count="2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diagonal/>
    </border>
    <border>
      <left/>
      <right style="thin">
        <color rgb="FF000000"/>
      </right>
      <top/>
      <bottom/>
      <diagonal/>
    </border>
    <border>
      <left/>
      <right style="thin">
        <color rgb="FF000000"/>
      </right>
      <top/>
      <bottom style="thin">
        <color rgb="FF000000"/>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rgb="FF000000"/>
      </right>
      <top style="thin">
        <color indexed="64"/>
      </top>
      <bottom/>
      <diagonal/>
    </border>
    <border>
      <left style="thin">
        <color indexed="64"/>
      </left>
      <right style="thin">
        <color rgb="FF000000"/>
      </right>
      <top/>
      <bottom/>
      <diagonal/>
    </border>
    <border>
      <left style="thin">
        <color indexed="64"/>
      </left>
      <right style="thin">
        <color rgb="FF000000"/>
      </right>
      <top/>
      <bottom style="thin">
        <color rgb="FF000000"/>
      </bottom>
      <diagonal/>
    </border>
    <border>
      <left style="thin">
        <color rgb="FF000000"/>
      </left>
      <right/>
      <top style="thin">
        <color rgb="FF000000"/>
      </top>
      <bottom style="thin">
        <color indexed="64"/>
      </bottom>
      <diagonal/>
    </border>
  </borders>
  <cellStyleXfs count="8">
    <xf numFmtId="0" fontId="0" fillId="0" borderId="0"/>
    <xf numFmtId="43"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43" fontId="8" fillId="0" borderId="0" applyFont="0" applyFill="0" applyBorder="0" applyAlignment="0" applyProtection="0"/>
    <xf numFmtId="0" fontId="1" fillId="0" borderId="0"/>
    <xf numFmtId="0" fontId="8" fillId="0" borderId="0"/>
  </cellStyleXfs>
  <cellXfs count="132">
    <xf numFmtId="0" fontId="0" fillId="0" borderId="0" xfId="0" applyAlignment="1">
      <alignment horizontal="left" vertical="top"/>
    </xf>
    <xf numFmtId="0" fontId="3" fillId="0" borderId="0" xfId="0" applyFont="1" applyAlignment="1">
      <alignment horizontal="left" vertical="top"/>
    </xf>
    <xf numFmtId="3" fontId="7" fillId="0" borderId="1" xfId="0" applyNumberFormat="1" applyFont="1" applyBorder="1" applyAlignment="1">
      <alignment horizontal="right" vertical="top" shrinkToFit="1"/>
    </xf>
    <xf numFmtId="0" fontId="5" fillId="0" borderId="2" xfId="0" applyFont="1" applyBorder="1" applyAlignment="1">
      <alignment horizontal="center" vertical="center" wrapText="1"/>
    </xf>
    <xf numFmtId="1" fontId="6" fillId="0" borderId="7" xfId="0" applyNumberFormat="1" applyFont="1" applyBorder="1" applyAlignment="1">
      <alignment horizontal="center" vertical="top" shrinkToFit="1"/>
    </xf>
    <xf numFmtId="1" fontId="6" fillId="0" borderId="0" xfId="0" applyNumberFormat="1" applyFont="1" applyAlignment="1">
      <alignment horizontal="center" vertical="top" shrinkToFit="1"/>
    </xf>
    <xf numFmtId="0" fontId="10" fillId="0" borderId="0" xfId="0" applyFont="1" applyAlignment="1">
      <alignment horizontal="center" vertical="top"/>
    </xf>
    <xf numFmtId="0" fontId="5" fillId="0" borderId="0" xfId="0" applyFont="1" applyAlignment="1">
      <alignment horizontal="left" vertical="top" wrapText="1"/>
    </xf>
    <xf numFmtId="14" fontId="5" fillId="0" borderId="0" xfId="0" applyNumberFormat="1" applyFont="1" applyAlignment="1">
      <alignment horizontal="left" vertical="top" wrapText="1"/>
    </xf>
    <xf numFmtId="3" fontId="6" fillId="0" borderId="0" xfId="0" applyNumberFormat="1" applyFont="1" applyAlignment="1">
      <alignment horizontal="right" vertical="top" shrinkToFit="1"/>
    </xf>
    <xf numFmtId="1" fontId="6" fillId="0" borderId="12" xfId="0" applyNumberFormat="1" applyFont="1" applyBorder="1" applyAlignment="1">
      <alignment horizontal="center" vertical="top" shrinkToFit="1"/>
    </xf>
    <xf numFmtId="3" fontId="6" fillId="0" borderId="13" xfId="0" applyNumberFormat="1" applyFont="1" applyBorder="1" applyAlignment="1">
      <alignment horizontal="right" vertical="top" shrinkToFit="1"/>
    </xf>
    <xf numFmtId="0" fontId="3" fillId="0" borderId="14" xfId="0" applyFont="1" applyBorder="1" applyAlignment="1">
      <alignment horizontal="center" vertical="top" wrapText="1"/>
    </xf>
    <xf numFmtId="0" fontId="10" fillId="0" borderId="15" xfId="0" applyFont="1" applyBorder="1" applyAlignment="1">
      <alignment horizontal="center" vertical="top"/>
    </xf>
    <xf numFmtId="0" fontId="5" fillId="0" borderId="15" xfId="0" applyFont="1" applyBorder="1" applyAlignment="1">
      <alignment horizontal="left" vertical="top" wrapText="1"/>
    </xf>
    <xf numFmtId="0" fontId="3" fillId="0" borderId="15" xfId="0" applyFont="1" applyBorder="1" applyAlignment="1">
      <alignment horizontal="center" vertical="top" wrapText="1"/>
    </xf>
    <xf numFmtId="14" fontId="5" fillId="0" borderId="15" xfId="0" applyNumberFormat="1" applyFont="1" applyBorder="1" applyAlignment="1">
      <alignment horizontal="left" vertical="top" wrapText="1"/>
    </xf>
    <xf numFmtId="3" fontId="3" fillId="0" borderId="15" xfId="1" applyNumberFormat="1" applyFont="1" applyFill="1" applyBorder="1" applyAlignment="1">
      <alignment horizontal="right" vertical="top" wrapText="1"/>
    </xf>
    <xf numFmtId="0" fontId="3" fillId="0" borderId="16" xfId="0" applyFont="1" applyBorder="1" applyAlignment="1">
      <alignment horizontal="right" vertical="top" wrapText="1"/>
    </xf>
    <xf numFmtId="1" fontId="6" fillId="0" borderId="7" xfId="0" applyNumberFormat="1" applyFont="1" applyBorder="1" applyAlignment="1">
      <alignment horizontal="center" vertical="center" shrinkToFit="1"/>
    </xf>
    <xf numFmtId="1" fontId="6" fillId="0" borderId="8" xfId="0" applyNumberFormat="1" applyFont="1" applyBorder="1" applyAlignment="1">
      <alignment horizontal="center" vertical="center" shrinkToFit="1"/>
    </xf>
    <xf numFmtId="0" fontId="10" fillId="0" borderId="11" xfId="0" applyFont="1" applyBorder="1" applyAlignment="1">
      <alignment horizontal="center" vertical="center" wrapText="1"/>
    </xf>
    <xf numFmtId="0" fontId="11" fillId="0" borderId="0" xfId="0" applyFont="1" applyAlignment="1">
      <alignment horizontal="center" vertical="top"/>
    </xf>
    <xf numFmtId="0" fontId="12" fillId="2" borderId="0" xfId="0" applyFont="1" applyFill="1"/>
    <xf numFmtId="164" fontId="10" fillId="0" borderId="11" xfId="1" applyNumberFormat="1" applyFont="1" applyFill="1" applyBorder="1" applyAlignment="1">
      <alignment horizontal="center" vertical="center" wrapText="1"/>
    </xf>
    <xf numFmtId="0" fontId="10" fillId="0" borderId="7" xfId="0" applyFont="1" applyBorder="1" applyAlignment="1">
      <alignment horizontal="center" vertical="center" wrapText="1"/>
    </xf>
    <xf numFmtId="15" fontId="10" fillId="0" borderId="7" xfId="0" applyNumberFormat="1" applyFont="1" applyBorder="1" applyAlignment="1">
      <alignment horizontal="center" vertical="center" wrapText="1"/>
    </xf>
    <xf numFmtId="164" fontId="10" fillId="0" borderId="7" xfId="1" applyNumberFormat="1" applyFont="1" applyFill="1" applyBorder="1" applyAlignment="1">
      <alignment horizontal="center" vertical="center" wrapText="1"/>
    </xf>
    <xf numFmtId="0" fontId="2" fillId="0" borderId="0" xfId="0" applyFont="1" applyAlignment="1">
      <alignment horizontal="left" vertical="top"/>
    </xf>
    <xf numFmtId="43" fontId="10" fillId="0" borderId="11" xfId="1" applyFont="1" applyBorder="1" applyAlignment="1">
      <alignment horizontal="center" vertical="center" wrapText="1"/>
    </xf>
    <xf numFmtId="166" fontId="10" fillId="0" borderId="11" xfId="0" applyNumberFormat="1" applyFont="1" applyBorder="1" applyAlignment="1">
      <alignment horizontal="center" vertical="center" wrapText="1"/>
    </xf>
    <xf numFmtId="43" fontId="15" fillId="0" borderId="10" xfId="1" applyFont="1" applyBorder="1" applyAlignment="1">
      <alignment horizontal="right" vertical="top" shrinkToFit="1"/>
    </xf>
    <xf numFmtId="43" fontId="15" fillId="0" borderId="3" xfId="1" applyFont="1" applyBorder="1" applyAlignment="1">
      <alignment horizontal="right" vertical="top" shrinkToFit="1"/>
    </xf>
    <xf numFmtId="0" fontId="9" fillId="0" borderId="0" xfId="0" applyFont="1" applyAlignment="1">
      <alignment horizontal="left" vertical="top"/>
    </xf>
    <xf numFmtId="43" fontId="15" fillId="0" borderId="1" xfId="1" applyFont="1" applyBorder="1" applyAlignment="1">
      <alignment horizontal="right" vertical="top" shrinkToFit="1"/>
    </xf>
    <xf numFmtId="0" fontId="12" fillId="2" borderId="0" xfId="0" applyFont="1" applyFill="1" applyAlignment="1">
      <alignment vertical="center"/>
    </xf>
    <xf numFmtId="0" fontId="3" fillId="0" borderId="0" xfId="2" applyFont="1" applyAlignment="1">
      <alignment horizontal="left" vertical="top"/>
    </xf>
    <xf numFmtId="0" fontId="11" fillId="0" borderId="0" xfId="2" applyFont="1" applyAlignment="1">
      <alignment horizontal="center" vertical="top"/>
    </xf>
    <xf numFmtId="0" fontId="5" fillId="0" borderId="2" xfId="2" applyFont="1" applyBorder="1" applyAlignment="1">
      <alignment horizontal="center" vertical="center" wrapText="1"/>
    </xf>
    <xf numFmtId="1" fontId="6" fillId="0" borderId="8" xfId="2" applyNumberFormat="1" applyFont="1" applyBorder="1" applyAlignment="1">
      <alignment horizontal="center" vertical="center" shrinkToFit="1"/>
    </xf>
    <xf numFmtId="0" fontId="10" fillId="0" borderId="11" xfId="2" applyFont="1" applyBorder="1" applyAlignment="1">
      <alignment horizontal="center" vertical="center" wrapText="1"/>
    </xf>
    <xf numFmtId="166" fontId="10" fillId="0" borderId="11" xfId="2" applyNumberFormat="1" applyFont="1" applyBorder="1" applyAlignment="1">
      <alignment horizontal="center" vertical="center" wrapText="1"/>
    </xf>
    <xf numFmtId="43" fontId="10" fillId="0" borderId="7" xfId="1" applyFont="1" applyBorder="1" applyAlignment="1">
      <alignment horizontal="center" vertical="center" wrapText="1"/>
    </xf>
    <xf numFmtId="1" fontId="6" fillId="0" borderId="7" xfId="2" applyNumberFormat="1" applyFont="1" applyBorder="1" applyAlignment="1">
      <alignment horizontal="center" vertical="center" shrinkToFit="1"/>
    </xf>
    <xf numFmtId="15" fontId="10" fillId="0" borderId="11" xfId="2" applyNumberFormat="1" applyFont="1" applyBorder="1" applyAlignment="1">
      <alignment horizontal="center" vertical="center" wrapText="1"/>
    </xf>
    <xf numFmtId="1" fontId="6" fillId="0" borderId="7" xfId="2" applyNumberFormat="1" applyFont="1" applyBorder="1" applyAlignment="1">
      <alignment horizontal="center" vertical="top" shrinkToFit="1"/>
    </xf>
    <xf numFmtId="0" fontId="10" fillId="0" borderId="7" xfId="2" applyFont="1" applyBorder="1" applyAlignment="1">
      <alignment horizontal="center" vertical="center" wrapText="1"/>
    </xf>
    <xf numFmtId="15" fontId="10" fillId="0" borderId="7" xfId="2" applyNumberFormat="1" applyFont="1" applyBorder="1" applyAlignment="1">
      <alignment horizontal="center" vertical="center" wrapText="1"/>
    </xf>
    <xf numFmtId="1" fontId="6" fillId="0" borderId="12" xfId="2" applyNumberFormat="1" applyFont="1" applyBorder="1" applyAlignment="1">
      <alignment horizontal="center" vertical="top" shrinkToFit="1"/>
    </xf>
    <xf numFmtId="0" fontId="10" fillId="0" borderId="0" xfId="2" applyFont="1" applyAlignment="1">
      <alignment horizontal="center" vertical="top"/>
    </xf>
    <xf numFmtId="0" fontId="5" fillId="0" borderId="0" xfId="2" applyFont="1" applyAlignment="1">
      <alignment horizontal="left" vertical="top" wrapText="1"/>
    </xf>
    <xf numFmtId="1" fontId="6" fillId="0" borderId="0" xfId="2" applyNumberFormat="1" applyFont="1" applyAlignment="1">
      <alignment horizontal="center" vertical="top" shrinkToFit="1"/>
    </xf>
    <xf numFmtId="14" fontId="5" fillId="0" borderId="0" xfId="2" applyNumberFormat="1" applyFont="1" applyAlignment="1">
      <alignment horizontal="left" vertical="top" wrapText="1"/>
    </xf>
    <xf numFmtId="3" fontId="6" fillId="0" borderId="0" xfId="2" applyNumberFormat="1" applyFont="1" applyAlignment="1">
      <alignment horizontal="right" vertical="top" shrinkToFit="1"/>
    </xf>
    <xf numFmtId="3" fontId="6" fillId="0" borderId="13" xfId="2" applyNumberFormat="1" applyFont="1" applyBorder="1" applyAlignment="1">
      <alignment horizontal="right" vertical="top" shrinkToFit="1"/>
    </xf>
    <xf numFmtId="0" fontId="3" fillId="0" borderId="14" xfId="2" applyFont="1" applyBorder="1" applyAlignment="1">
      <alignment horizontal="center" vertical="top" wrapText="1"/>
    </xf>
    <xf numFmtId="0" fontId="10" fillId="0" borderId="15" xfId="2" applyFont="1" applyBorder="1" applyAlignment="1">
      <alignment horizontal="center" vertical="top"/>
    </xf>
    <xf numFmtId="0" fontId="5" fillId="0" borderId="15" xfId="2" applyFont="1" applyBorder="1" applyAlignment="1">
      <alignment horizontal="left" vertical="top" wrapText="1"/>
    </xf>
    <xf numFmtId="0" fontId="3" fillId="0" borderId="15" xfId="2" applyFont="1" applyBorder="1" applyAlignment="1">
      <alignment horizontal="center" vertical="top" wrapText="1"/>
    </xf>
    <xf numFmtId="14" fontId="5" fillId="0" borderId="15" xfId="2" applyNumberFormat="1" applyFont="1" applyBorder="1" applyAlignment="1">
      <alignment horizontal="left" vertical="top" wrapText="1"/>
    </xf>
    <xf numFmtId="0" fontId="3" fillId="0" borderId="16" xfId="2" applyFont="1" applyBorder="1" applyAlignment="1">
      <alignment horizontal="right" vertical="top" wrapText="1"/>
    </xf>
    <xf numFmtId="166" fontId="10" fillId="0" borderId="11" xfId="1" applyNumberFormat="1" applyFont="1" applyBorder="1" applyAlignment="1">
      <alignment horizontal="center" vertical="center" wrapText="1"/>
    </xf>
    <xf numFmtId="1" fontId="9" fillId="0" borderId="8" xfId="2" applyNumberFormat="1" applyFont="1" applyBorder="1" applyAlignment="1">
      <alignment horizontal="center" vertical="center" shrinkToFit="1"/>
    </xf>
    <xf numFmtId="1" fontId="9" fillId="0" borderId="7" xfId="2" applyNumberFormat="1" applyFont="1" applyBorder="1" applyAlignment="1">
      <alignment horizontal="center" vertical="center" shrinkToFit="1"/>
    </xf>
    <xf numFmtId="0" fontId="3" fillId="0" borderId="0" xfId="0" applyFont="1" applyAlignment="1">
      <alignment horizontal="right" vertical="top"/>
    </xf>
    <xf numFmtId="0" fontId="3" fillId="0" borderId="0" xfId="2" applyFont="1" applyAlignment="1">
      <alignment horizontal="right" vertical="top"/>
    </xf>
    <xf numFmtId="167" fontId="3" fillId="0" borderId="0" xfId="0" applyNumberFormat="1" applyFont="1" applyAlignment="1">
      <alignment horizontal="right" vertical="top"/>
    </xf>
    <xf numFmtId="167" fontId="3" fillId="0" borderId="0" xfId="2" applyNumberFormat="1" applyFont="1" applyAlignment="1">
      <alignment horizontal="right" vertical="top"/>
    </xf>
    <xf numFmtId="43" fontId="12" fillId="2" borderId="0" xfId="5" applyFont="1" applyFill="1"/>
    <xf numFmtId="0" fontId="12" fillId="0" borderId="0" xfId="2" applyFont="1"/>
    <xf numFmtId="0" fontId="12" fillId="2" borderId="0" xfId="0" applyFont="1" applyFill="1" applyAlignment="1">
      <alignment wrapText="1"/>
    </xf>
    <xf numFmtId="0" fontId="12" fillId="0" borderId="0" xfId="0" applyFont="1"/>
    <xf numFmtId="0" fontId="12" fillId="0" borderId="0" xfId="0" applyFont="1" applyAlignment="1">
      <alignment wrapText="1"/>
    </xf>
    <xf numFmtId="43" fontId="12" fillId="0" borderId="0" xfId="5" applyFont="1" applyFill="1"/>
    <xf numFmtId="0" fontId="12" fillId="0" borderId="0" xfId="0" applyFont="1" applyAlignment="1">
      <alignment vertical="center"/>
    </xf>
    <xf numFmtId="0" fontId="13" fillId="0" borderId="7" xfId="0" applyFont="1" applyBorder="1" applyAlignment="1">
      <alignment vertical="center"/>
    </xf>
    <xf numFmtId="0" fontId="13" fillId="0" borderId="7" xfId="0" applyFont="1" applyBorder="1" applyAlignment="1">
      <alignment vertical="center" wrapText="1"/>
    </xf>
    <xf numFmtId="0" fontId="13" fillId="0" borderId="7" xfId="0" applyFont="1" applyBorder="1" applyAlignment="1">
      <alignment horizontal="center" vertical="center" wrapText="1"/>
    </xf>
    <xf numFmtId="43" fontId="13" fillId="0" borderId="7" xfId="5" applyFont="1" applyFill="1" applyBorder="1" applyAlignment="1">
      <alignment horizontal="center" vertical="center" wrapText="1"/>
    </xf>
    <xf numFmtId="0" fontId="13" fillId="0" borderId="7" xfId="0" applyFont="1" applyBorder="1" applyAlignment="1">
      <alignment horizontal="center" vertical="center"/>
    </xf>
    <xf numFmtId="0" fontId="12" fillId="0" borderId="7" xfId="0" applyFont="1" applyBorder="1" applyAlignment="1">
      <alignment horizontal="center" vertical="center" wrapText="1"/>
    </xf>
    <xf numFmtId="0" fontId="12" fillId="0" borderId="7" xfId="2" applyFont="1" applyBorder="1" applyAlignment="1">
      <alignment horizontal="left" vertical="center" wrapText="1"/>
    </xf>
    <xf numFmtId="165" fontId="12" fillId="0" borderId="7" xfId="0" applyNumberFormat="1" applyFont="1" applyBorder="1" applyAlignment="1">
      <alignment horizontal="center" vertical="center" wrapText="1"/>
    </xf>
    <xf numFmtId="167" fontId="12" fillId="0" borderId="7" xfId="0" applyNumberFormat="1" applyFont="1" applyBorder="1" applyAlignment="1">
      <alignment horizontal="center" vertical="center" wrapText="1"/>
    </xf>
    <xf numFmtId="43" fontId="12" fillId="0" borderId="7" xfId="5" applyFont="1" applyFill="1" applyBorder="1" applyAlignment="1">
      <alignment horizontal="center" vertical="center" wrapText="1"/>
    </xf>
    <xf numFmtId="43" fontId="12" fillId="3" borderId="7" xfId="4" applyFont="1" applyFill="1" applyBorder="1" applyAlignment="1">
      <alignment horizontal="center" vertical="center" wrapText="1"/>
    </xf>
    <xf numFmtId="1" fontId="9" fillId="0" borderId="23" xfId="2" applyNumberFormat="1" applyFont="1" applyBorder="1" applyAlignment="1">
      <alignment horizontal="center" vertical="center" shrinkToFit="1"/>
    </xf>
    <xf numFmtId="167" fontId="10" fillId="0" borderId="7" xfId="2" applyNumberFormat="1" applyFont="1" applyBorder="1" applyAlignment="1">
      <alignment horizontal="center" vertical="center" wrapText="1"/>
    </xf>
    <xf numFmtId="0" fontId="17" fillId="0" borderId="11" xfId="2" applyFont="1" applyBorder="1" applyAlignment="1">
      <alignment horizontal="center" vertical="center" wrapText="1"/>
    </xf>
    <xf numFmtId="43" fontId="17" fillId="0" borderId="11" xfId="1" applyFont="1" applyBorder="1" applyAlignment="1">
      <alignment horizontal="center" vertical="center" wrapText="1"/>
    </xf>
    <xf numFmtId="167" fontId="17" fillId="0" borderId="11" xfId="2" applyNumberFormat="1" applyFont="1" applyBorder="1" applyAlignment="1">
      <alignment horizontal="center" vertical="center" wrapText="1"/>
    </xf>
    <xf numFmtId="166" fontId="17" fillId="0" borderId="11" xfId="2" applyNumberFormat="1" applyFont="1" applyBorder="1" applyAlignment="1">
      <alignment horizontal="center" vertical="center" wrapText="1"/>
    </xf>
    <xf numFmtId="0" fontId="17" fillId="0" borderId="7" xfId="2" applyFont="1" applyBorder="1" applyAlignment="1">
      <alignment horizontal="center" vertical="center" wrapText="1"/>
    </xf>
    <xf numFmtId="167" fontId="17" fillId="0" borderId="7" xfId="2" applyNumberFormat="1" applyFont="1" applyBorder="1" applyAlignment="1">
      <alignment horizontal="center" vertical="center" wrapText="1"/>
    </xf>
    <xf numFmtId="43" fontId="17" fillId="0" borderId="7" xfId="1" applyFont="1" applyBorder="1" applyAlignment="1">
      <alignment horizontal="center" vertical="center" wrapText="1"/>
    </xf>
    <xf numFmtId="0" fontId="12" fillId="0" borderId="7" xfId="0" applyFont="1" applyBorder="1" applyAlignment="1">
      <alignment horizontal="center" vertical="center"/>
    </xf>
    <xf numFmtId="10" fontId="12" fillId="2" borderId="7" xfId="0" applyNumberFormat="1" applyFont="1" applyFill="1" applyBorder="1" applyAlignment="1">
      <alignment vertical="center"/>
    </xf>
    <xf numFmtId="43" fontId="17" fillId="0" borderId="11" xfId="2" applyNumberFormat="1" applyFont="1" applyBorder="1" applyAlignment="1">
      <alignment horizontal="center" vertical="center" wrapText="1"/>
    </xf>
    <xf numFmtId="14" fontId="17" fillId="0" borderId="11" xfId="2" applyNumberFormat="1" applyFont="1" applyBorder="1" applyAlignment="1">
      <alignment horizontal="center" vertical="center" wrapText="1"/>
    </xf>
    <xf numFmtId="0" fontId="12" fillId="0" borderId="7" xfId="6" applyFont="1" applyBorder="1" applyAlignment="1">
      <alignment horizontal="center" vertical="center" wrapText="1"/>
    </xf>
    <xf numFmtId="0" fontId="3" fillId="0" borderId="2" xfId="2" applyFont="1" applyBorder="1" applyAlignment="1">
      <alignment horizontal="center" vertical="center" wrapText="1"/>
    </xf>
    <xf numFmtId="0" fontId="3" fillId="0" borderId="6" xfId="2" applyFont="1" applyBorder="1" applyAlignment="1">
      <alignment horizontal="center" vertical="center" wrapText="1"/>
    </xf>
    <xf numFmtId="0" fontId="4" fillId="0" borderId="2" xfId="2" applyFont="1" applyBorder="1" applyAlignment="1">
      <alignment horizontal="center" vertical="center" wrapText="1"/>
    </xf>
    <xf numFmtId="0" fontId="4" fillId="0" borderId="6" xfId="2" applyFont="1" applyBorder="1" applyAlignment="1">
      <alignment horizontal="center" vertical="center" wrapText="1"/>
    </xf>
    <xf numFmtId="3" fontId="9" fillId="0" borderId="9" xfId="2" applyNumberFormat="1" applyFont="1" applyBorder="1" applyAlignment="1">
      <alignment horizontal="left" vertical="justify" shrinkToFit="1"/>
    </xf>
    <xf numFmtId="3" fontId="9" fillId="0" borderId="10" xfId="2" applyNumberFormat="1" applyFont="1" applyBorder="1" applyAlignment="1">
      <alignment horizontal="left" vertical="justify" shrinkToFit="1"/>
    </xf>
    <xf numFmtId="43" fontId="14" fillId="0" borderId="17" xfId="1" applyFont="1" applyBorder="1" applyAlignment="1">
      <alignment horizontal="right" vertical="top" wrapText="1"/>
    </xf>
    <xf numFmtId="43" fontId="14" fillId="0" borderId="18" xfId="1" applyFont="1" applyBorder="1" applyAlignment="1">
      <alignment horizontal="right" vertical="top" wrapText="1"/>
    </xf>
    <xf numFmtId="43" fontId="14" fillId="0" borderId="19" xfId="1" applyFont="1" applyBorder="1" applyAlignment="1">
      <alignment horizontal="right" vertical="top" wrapText="1"/>
    </xf>
    <xf numFmtId="0" fontId="2" fillId="0" borderId="0" xfId="2" applyFont="1" applyAlignment="1">
      <alignment horizontal="center" vertical="top"/>
    </xf>
    <xf numFmtId="0" fontId="3" fillId="0" borderId="0" xfId="2" applyFont="1" applyAlignment="1">
      <alignment horizontal="justify" vertical="justify" wrapText="1"/>
    </xf>
    <xf numFmtId="0" fontId="4" fillId="0" borderId="3" xfId="2" applyFont="1" applyBorder="1" applyAlignment="1">
      <alignment horizontal="center" vertical="center" wrapText="1"/>
    </xf>
    <xf numFmtId="0" fontId="4" fillId="0" borderId="4" xfId="2" applyFont="1" applyBorder="1" applyAlignment="1">
      <alignment horizontal="center" vertical="center" wrapText="1"/>
    </xf>
    <xf numFmtId="0" fontId="4" fillId="0" borderId="5" xfId="2" applyFont="1" applyBorder="1" applyAlignment="1">
      <alignment horizontal="center" vertical="center" wrapText="1"/>
    </xf>
    <xf numFmtId="0" fontId="3" fillId="0" borderId="4" xfId="2" applyFont="1" applyBorder="1" applyAlignment="1">
      <alignment horizontal="center" vertical="center" wrapText="1"/>
    </xf>
    <xf numFmtId="0" fontId="3" fillId="0" borderId="5" xfId="2" applyFont="1" applyBorder="1" applyAlignment="1">
      <alignment horizontal="center" vertical="center" wrapText="1"/>
    </xf>
    <xf numFmtId="3" fontId="9" fillId="0" borderId="20" xfId="2" applyNumberFormat="1" applyFont="1" applyBorder="1" applyAlignment="1">
      <alignment horizontal="left" vertical="justify" shrinkToFit="1"/>
    </xf>
    <xf numFmtId="3" fontId="9" fillId="0" borderId="21" xfId="2" applyNumberFormat="1" applyFont="1" applyBorder="1" applyAlignment="1">
      <alignment horizontal="left" vertical="justify" shrinkToFit="1"/>
    </xf>
    <xf numFmtId="3" fontId="9" fillId="0" borderId="22" xfId="2" applyNumberFormat="1" applyFont="1" applyBorder="1" applyAlignment="1">
      <alignment horizontal="left" vertical="justify" shrinkToFit="1"/>
    </xf>
    <xf numFmtId="0" fontId="3" fillId="0" borderId="0" xfId="0" applyFont="1" applyAlignment="1">
      <alignment horizontal="justify" vertical="justify" wrapText="1"/>
    </xf>
    <xf numFmtId="0" fontId="2" fillId="0" borderId="0" xfId="0" applyFont="1" applyAlignment="1">
      <alignment horizontal="center" vertical="top"/>
    </xf>
    <xf numFmtId="3" fontId="9" fillId="0" borderId="9" xfId="0" applyNumberFormat="1" applyFont="1" applyBorder="1" applyAlignment="1">
      <alignment horizontal="left" vertical="justify" shrinkToFit="1"/>
    </xf>
    <xf numFmtId="3" fontId="9" fillId="0" borderId="10" xfId="0" applyNumberFormat="1" applyFont="1" applyBorder="1" applyAlignment="1">
      <alignment horizontal="left" vertical="justify" shrinkToFit="1"/>
    </xf>
    <xf numFmtId="0" fontId="4" fillId="0" borderId="2" xfId="0" applyFont="1" applyBorder="1" applyAlignment="1">
      <alignment horizontal="center" vertical="center" wrapText="1"/>
    </xf>
    <xf numFmtId="0" fontId="4" fillId="0" borderId="6"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5" xfId="0" applyFont="1" applyBorder="1" applyAlignment="1">
      <alignment horizontal="center" vertical="center" wrapText="1"/>
    </xf>
    <xf numFmtId="0" fontId="3" fillId="0" borderId="4" xfId="0" applyFont="1" applyBorder="1" applyAlignment="1">
      <alignment horizontal="center" vertical="center" wrapText="1"/>
    </xf>
    <xf numFmtId="0" fontId="3" fillId="0" borderId="5" xfId="0" applyFont="1" applyBorder="1" applyAlignment="1">
      <alignment horizontal="center" vertical="center" wrapText="1"/>
    </xf>
    <xf numFmtId="0" fontId="3" fillId="0" borderId="6" xfId="0" applyFont="1" applyBorder="1" applyAlignment="1">
      <alignment horizontal="center" vertical="center" wrapText="1"/>
    </xf>
    <xf numFmtId="0" fontId="3" fillId="0" borderId="2" xfId="0" applyFont="1" applyBorder="1" applyAlignment="1">
      <alignment horizontal="center" vertical="center" wrapText="1"/>
    </xf>
  </cellXfs>
  <cellStyles count="8">
    <cellStyle name="Comma" xfId="1" builtinId="3"/>
    <cellStyle name="Comma 2" xfId="4" xr:uid="{DADC6B3A-3CF6-4C2A-B277-C58581A78750}"/>
    <cellStyle name="Comma 3" xfId="5" xr:uid="{C4B52534-8519-4953-854B-F31F91C1C877}"/>
    <cellStyle name="Normal" xfId="0" builtinId="0"/>
    <cellStyle name="Normal 17" xfId="7" xr:uid="{6F1423A3-1B74-4FEF-8611-E5B3554803C1}"/>
    <cellStyle name="Normal 2" xfId="2" xr:uid="{11CC444F-0BE5-44C7-82CE-959D87CEE7A2}"/>
    <cellStyle name="Normal 3" xfId="3" xr:uid="{0258E1E1-22FE-46B3-92AC-0881C5FF0ABA}"/>
    <cellStyle name="Normal 6" xfId="6" xr:uid="{DD700CB5-9F33-410F-A40F-46CFFBD07D1E}"/>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png"/><Relationship Id="rId1" Type="http://schemas.openxmlformats.org/officeDocument/2006/relationships/image" Target="../media/image1.jpeg"/><Relationship Id="rId5" Type="http://schemas.microsoft.com/office/2007/relationships/hdphoto" Target="../media/hdphoto1.wdp"/><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6.jpeg"/><Relationship Id="rId2" Type="http://schemas.openxmlformats.org/officeDocument/2006/relationships/image" Target="../media/image2.png"/><Relationship Id="rId1" Type="http://schemas.openxmlformats.org/officeDocument/2006/relationships/image" Target="../media/image5.jpeg"/><Relationship Id="rId5" Type="http://schemas.microsoft.com/office/2007/relationships/hdphoto" Target="../media/hdphoto1.wdp"/><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3" Type="http://schemas.openxmlformats.org/officeDocument/2006/relationships/image" Target="../media/image6.jpeg"/><Relationship Id="rId2" Type="http://schemas.openxmlformats.org/officeDocument/2006/relationships/image" Target="../media/image2.png"/><Relationship Id="rId1" Type="http://schemas.openxmlformats.org/officeDocument/2006/relationships/image" Target="../media/image5.jpeg"/><Relationship Id="rId5" Type="http://schemas.microsoft.com/office/2007/relationships/hdphoto" Target="../media/hdphoto1.wdp"/><Relationship Id="rId4" Type="http://schemas.openxmlformats.org/officeDocument/2006/relationships/image" Target="../media/image4.png"/></Relationships>
</file>

<file path=xl/drawings/_rels/drawing4.xml.rels><?xml version="1.0" encoding="UTF-8" standalone="yes"?>
<Relationships xmlns="http://schemas.openxmlformats.org/package/2006/relationships"><Relationship Id="rId3" Type="http://schemas.openxmlformats.org/officeDocument/2006/relationships/image" Target="../media/image6.jpeg"/><Relationship Id="rId2" Type="http://schemas.openxmlformats.org/officeDocument/2006/relationships/image" Target="../media/image2.png"/><Relationship Id="rId1" Type="http://schemas.openxmlformats.org/officeDocument/2006/relationships/image" Target="../media/image5.jpeg"/><Relationship Id="rId5" Type="http://schemas.microsoft.com/office/2007/relationships/hdphoto" Target="../media/hdphoto1.wdp"/><Relationship Id="rId4" Type="http://schemas.openxmlformats.org/officeDocument/2006/relationships/image" Target="../media/image4.png"/></Relationships>
</file>

<file path=xl/drawings/_rels/drawing5.xml.rels><?xml version="1.0" encoding="UTF-8" standalone="yes"?>
<Relationships xmlns="http://schemas.openxmlformats.org/package/2006/relationships"><Relationship Id="rId3" Type="http://schemas.openxmlformats.org/officeDocument/2006/relationships/image" Target="../media/image5.jpeg"/><Relationship Id="rId2" Type="http://schemas.microsoft.com/office/2007/relationships/hdphoto" Target="../media/hdphoto1.wdp"/><Relationship Id="rId1" Type="http://schemas.openxmlformats.org/officeDocument/2006/relationships/image" Target="../media/image4.png"/><Relationship Id="rId5" Type="http://schemas.openxmlformats.org/officeDocument/2006/relationships/image" Target="../media/image6.jpeg"/><Relationship Id="rId4"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image" Target="../media/image6.jpeg"/><Relationship Id="rId2" Type="http://schemas.openxmlformats.org/officeDocument/2006/relationships/image" Target="../media/image2.png"/><Relationship Id="rId1" Type="http://schemas.openxmlformats.org/officeDocument/2006/relationships/image" Target="../media/image5.jpeg"/><Relationship Id="rId5" Type="http://schemas.microsoft.com/office/2007/relationships/hdphoto" Target="../media/hdphoto1.wdp"/><Relationship Id="rId4" Type="http://schemas.openxmlformats.org/officeDocument/2006/relationships/image" Target="../media/image4.png"/></Relationships>
</file>

<file path=xl/drawings/_rels/drawing7.xml.rels><?xml version="1.0" encoding="UTF-8" standalone="yes"?>
<Relationships xmlns="http://schemas.openxmlformats.org/package/2006/relationships"><Relationship Id="rId3" Type="http://schemas.openxmlformats.org/officeDocument/2006/relationships/image" Target="../media/image6.jpeg"/><Relationship Id="rId2" Type="http://schemas.openxmlformats.org/officeDocument/2006/relationships/image" Target="../media/image2.png"/><Relationship Id="rId1" Type="http://schemas.openxmlformats.org/officeDocument/2006/relationships/image" Target="../media/image5.jpeg"/><Relationship Id="rId5" Type="http://schemas.microsoft.com/office/2007/relationships/hdphoto" Target="../media/hdphoto1.wdp"/><Relationship Id="rId4" Type="http://schemas.openxmlformats.org/officeDocument/2006/relationships/image" Target="../media/image4.png"/></Relationships>
</file>

<file path=xl/drawings/_rels/drawing8.xml.rels><?xml version="1.0" encoding="UTF-8" standalone="yes"?>
<Relationships xmlns="http://schemas.openxmlformats.org/package/2006/relationships"><Relationship Id="rId3" Type="http://schemas.openxmlformats.org/officeDocument/2006/relationships/image" Target="../media/image6.jpeg"/><Relationship Id="rId2" Type="http://schemas.openxmlformats.org/officeDocument/2006/relationships/image" Target="../media/image2.png"/><Relationship Id="rId1" Type="http://schemas.openxmlformats.org/officeDocument/2006/relationships/image" Target="../media/image5.jpeg"/><Relationship Id="rId5" Type="http://schemas.microsoft.com/office/2007/relationships/hdphoto" Target="../media/hdphoto1.wdp"/><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2</xdr:col>
      <xdr:colOff>88900</xdr:colOff>
      <xdr:row>34</xdr:row>
      <xdr:rowOff>76200</xdr:rowOff>
    </xdr:from>
    <xdr:to>
      <xdr:col>2</xdr:col>
      <xdr:colOff>888006</xdr:colOff>
      <xdr:row>40</xdr:row>
      <xdr:rowOff>6350</xdr:rowOff>
    </xdr:to>
    <xdr:pic>
      <xdr:nvPicPr>
        <xdr:cNvPr id="3" name="Picture 2">
          <a:extLst>
            <a:ext uri="{FF2B5EF4-FFF2-40B4-BE49-F238E27FC236}">
              <a16:creationId xmlns:a16="http://schemas.microsoft.com/office/drawing/2014/main" id="{C8E307A3-9984-40AC-B28D-B2C4925B468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22450" y="6642100"/>
          <a:ext cx="799106" cy="920750"/>
        </a:xfrm>
        <a:prstGeom prst="rect">
          <a:avLst/>
        </a:prstGeom>
      </xdr:spPr>
    </xdr:pic>
    <xdr:clientData/>
  </xdr:twoCellAnchor>
  <xdr:twoCellAnchor editAs="oneCell">
    <xdr:from>
      <xdr:col>8</xdr:col>
      <xdr:colOff>450850</xdr:colOff>
      <xdr:row>3</xdr:row>
      <xdr:rowOff>31750</xdr:rowOff>
    </xdr:from>
    <xdr:to>
      <xdr:col>9</xdr:col>
      <xdr:colOff>1174750</xdr:colOff>
      <xdr:row>12</xdr:row>
      <xdr:rowOff>31750</xdr:rowOff>
    </xdr:to>
    <xdr:pic>
      <xdr:nvPicPr>
        <xdr:cNvPr id="4" name="Picture 3">
          <a:extLst>
            <a:ext uri="{FF2B5EF4-FFF2-40B4-BE49-F238E27FC236}">
              <a16:creationId xmlns:a16="http://schemas.microsoft.com/office/drawing/2014/main" id="{C53E5621-1AC9-4A9D-A9D7-F8C2D6489EA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426200" y="527050"/>
          <a:ext cx="1485900" cy="1485900"/>
        </a:xfrm>
        <a:prstGeom prst="rect">
          <a:avLst/>
        </a:prstGeom>
      </xdr:spPr>
    </xdr:pic>
    <xdr:clientData/>
  </xdr:twoCellAnchor>
  <xdr:twoCellAnchor editAs="oneCell">
    <xdr:from>
      <xdr:col>1</xdr:col>
      <xdr:colOff>317501</xdr:colOff>
      <xdr:row>34</xdr:row>
      <xdr:rowOff>114301</xdr:rowOff>
    </xdr:from>
    <xdr:to>
      <xdr:col>1</xdr:col>
      <xdr:colOff>1318845</xdr:colOff>
      <xdr:row>37</xdr:row>
      <xdr:rowOff>139701</xdr:rowOff>
    </xdr:to>
    <xdr:pic>
      <xdr:nvPicPr>
        <xdr:cNvPr id="5" name="Picture 4">
          <a:extLst>
            <a:ext uri="{FF2B5EF4-FFF2-40B4-BE49-F238E27FC236}">
              <a16:creationId xmlns:a16="http://schemas.microsoft.com/office/drawing/2014/main" id="{24CAF136-C0D9-4B85-9F07-1ADE8966D31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71501" y="6680201"/>
          <a:ext cx="1001344" cy="520700"/>
        </a:xfrm>
        <a:prstGeom prst="rect">
          <a:avLst/>
        </a:prstGeom>
      </xdr:spPr>
    </xdr:pic>
    <xdr:clientData/>
  </xdr:twoCellAnchor>
  <xdr:oneCellAnchor>
    <xdr:from>
      <xdr:col>1</xdr:col>
      <xdr:colOff>6350</xdr:colOff>
      <xdr:row>0</xdr:row>
      <xdr:rowOff>120650</xdr:rowOff>
    </xdr:from>
    <xdr:ext cx="1065618" cy="1117600"/>
    <xdr:pic>
      <xdr:nvPicPr>
        <xdr:cNvPr id="6" name="image1.jpeg">
          <a:extLst>
            <a:ext uri="{FF2B5EF4-FFF2-40B4-BE49-F238E27FC236}">
              <a16:creationId xmlns:a16="http://schemas.microsoft.com/office/drawing/2014/main" id="{1282C5A0-9F07-4C59-B760-709D8D2F547D}"/>
            </a:ext>
          </a:extLst>
        </xdr:cNvPr>
        <xdr:cNvPicPr>
          <a:picLocks noChangeAspect="1"/>
        </xdr:cNvPicPr>
      </xdr:nvPicPr>
      <xdr:blipFill>
        <a:blip xmlns:r="http://schemas.openxmlformats.org/officeDocument/2006/relationships" r:embed="rId4" cstate="print">
          <a:extLst>
            <a:ext uri="{BEBA8EAE-BF5A-486C-A8C5-ECC9F3942E4B}">
              <a14:imgProps xmlns:a14="http://schemas.microsoft.com/office/drawing/2010/main">
                <a14:imgLayer r:embed="rId5">
                  <a14:imgEffect>
                    <a14:sharpenSoften amount="50000"/>
                  </a14:imgEffect>
                  <a14:imgEffect>
                    <a14:brightnessContrast bright="20000"/>
                  </a14:imgEffect>
                </a14:imgLayer>
              </a14:imgProps>
            </a:ext>
            <a:ext uri="{28A0092B-C50C-407E-A947-70E740481C1C}">
              <a14:useLocalDpi xmlns:a14="http://schemas.microsoft.com/office/drawing/2010/main" val="0"/>
            </a:ext>
          </a:extLst>
        </a:blip>
        <a:srcRect/>
        <a:stretch/>
      </xdr:blipFill>
      <xdr:spPr>
        <a:xfrm>
          <a:off x="260350" y="120650"/>
          <a:ext cx="1065618" cy="111760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2</xdr:col>
      <xdr:colOff>88900</xdr:colOff>
      <xdr:row>34</xdr:row>
      <xdr:rowOff>76200</xdr:rowOff>
    </xdr:from>
    <xdr:to>
      <xdr:col>2</xdr:col>
      <xdr:colOff>888006</xdr:colOff>
      <xdr:row>40</xdr:row>
      <xdr:rowOff>6350</xdr:rowOff>
    </xdr:to>
    <xdr:pic>
      <xdr:nvPicPr>
        <xdr:cNvPr id="3" name="Picture 2">
          <a:extLst>
            <a:ext uri="{FF2B5EF4-FFF2-40B4-BE49-F238E27FC236}">
              <a16:creationId xmlns:a16="http://schemas.microsoft.com/office/drawing/2014/main" id="{BFAFA5B9-8FE9-4CEC-B775-6FA9A9250E7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22450" y="6642100"/>
          <a:ext cx="799106" cy="920750"/>
        </a:xfrm>
        <a:prstGeom prst="rect">
          <a:avLst/>
        </a:prstGeom>
      </xdr:spPr>
    </xdr:pic>
    <xdr:clientData/>
  </xdr:twoCellAnchor>
  <xdr:twoCellAnchor editAs="oneCell">
    <xdr:from>
      <xdr:col>8</xdr:col>
      <xdr:colOff>450850</xdr:colOff>
      <xdr:row>3</xdr:row>
      <xdr:rowOff>31750</xdr:rowOff>
    </xdr:from>
    <xdr:to>
      <xdr:col>9</xdr:col>
      <xdr:colOff>1174750</xdr:colOff>
      <xdr:row>12</xdr:row>
      <xdr:rowOff>31750</xdr:rowOff>
    </xdr:to>
    <xdr:pic>
      <xdr:nvPicPr>
        <xdr:cNvPr id="4" name="Picture 3">
          <a:extLst>
            <a:ext uri="{FF2B5EF4-FFF2-40B4-BE49-F238E27FC236}">
              <a16:creationId xmlns:a16="http://schemas.microsoft.com/office/drawing/2014/main" id="{2B15579E-BA52-4F0C-8264-8161DEA9131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426200" y="527050"/>
          <a:ext cx="1485900" cy="1485900"/>
        </a:xfrm>
        <a:prstGeom prst="rect">
          <a:avLst/>
        </a:prstGeom>
      </xdr:spPr>
    </xdr:pic>
    <xdr:clientData/>
  </xdr:twoCellAnchor>
  <xdr:twoCellAnchor editAs="oneCell">
    <xdr:from>
      <xdr:col>1</xdr:col>
      <xdr:colOff>317501</xdr:colOff>
      <xdr:row>34</xdr:row>
      <xdr:rowOff>114301</xdr:rowOff>
    </xdr:from>
    <xdr:to>
      <xdr:col>1</xdr:col>
      <xdr:colOff>1318845</xdr:colOff>
      <xdr:row>37</xdr:row>
      <xdr:rowOff>139701</xdr:rowOff>
    </xdr:to>
    <xdr:pic>
      <xdr:nvPicPr>
        <xdr:cNvPr id="5" name="Picture 4">
          <a:extLst>
            <a:ext uri="{FF2B5EF4-FFF2-40B4-BE49-F238E27FC236}">
              <a16:creationId xmlns:a16="http://schemas.microsoft.com/office/drawing/2014/main" id="{0A35CA7A-47AA-44C3-8DA4-84BB08B1874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71501" y="6680201"/>
          <a:ext cx="1001344" cy="520700"/>
        </a:xfrm>
        <a:prstGeom prst="rect">
          <a:avLst/>
        </a:prstGeom>
      </xdr:spPr>
    </xdr:pic>
    <xdr:clientData/>
  </xdr:twoCellAnchor>
  <xdr:oneCellAnchor>
    <xdr:from>
      <xdr:col>1</xdr:col>
      <xdr:colOff>6350</xdr:colOff>
      <xdr:row>0</xdr:row>
      <xdr:rowOff>120650</xdr:rowOff>
    </xdr:from>
    <xdr:ext cx="1065618" cy="1117600"/>
    <xdr:pic>
      <xdr:nvPicPr>
        <xdr:cNvPr id="6" name="image1.jpeg">
          <a:extLst>
            <a:ext uri="{FF2B5EF4-FFF2-40B4-BE49-F238E27FC236}">
              <a16:creationId xmlns:a16="http://schemas.microsoft.com/office/drawing/2014/main" id="{3ECD2149-98DE-4631-BB94-E8AD77D727A5}"/>
            </a:ext>
          </a:extLst>
        </xdr:cNvPr>
        <xdr:cNvPicPr>
          <a:picLocks noChangeAspect="1"/>
        </xdr:cNvPicPr>
      </xdr:nvPicPr>
      <xdr:blipFill>
        <a:blip xmlns:r="http://schemas.openxmlformats.org/officeDocument/2006/relationships" r:embed="rId4" cstate="print">
          <a:extLst>
            <a:ext uri="{BEBA8EAE-BF5A-486C-A8C5-ECC9F3942E4B}">
              <a14:imgProps xmlns:a14="http://schemas.microsoft.com/office/drawing/2010/main">
                <a14:imgLayer r:embed="rId5">
                  <a14:imgEffect>
                    <a14:sharpenSoften amount="50000"/>
                  </a14:imgEffect>
                  <a14:imgEffect>
                    <a14:brightnessContrast bright="20000"/>
                  </a14:imgEffect>
                </a14:imgLayer>
              </a14:imgProps>
            </a:ext>
            <a:ext uri="{28A0092B-C50C-407E-A947-70E740481C1C}">
              <a14:useLocalDpi xmlns:a14="http://schemas.microsoft.com/office/drawing/2010/main" val="0"/>
            </a:ext>
          </a:extLst>
        </a:blip>
        <a:srcRect/>
        <a:stretch/>
      </xdr:blipFill>
      <xdr:spPr>
        <a:xfrm>
          <a:off x="260350" y="120650"/>
          <a:ext cx="1065618" cy="111760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2</xdr:col>
      <xdr:colOff>88900</xdr:colOff>
      <xdr:row>34</xdr:row>
      <xdr:rowOff>76200</xdr:rowOff>
    </xdr:from>
    <xdr:to>
      <xdr:col>2</xdr:col>
      <xdr:colOff>888006</xdr:colOff>
      <xdr:row>40</xdr:row>
      <xdr:rowOff>6350</xdr:rowOff>
    </xdr:to>
    <xdr:pic>
      <xdr:nvPicPr>
        <xdr:cNvPr id="2" name="Picture 1">
          <a:extLst>
            <a:ext uri="{FF2B5EF4-FFF2-40B4-BE49-F238E27FC236}">
              <a16:creationId xmlns:a16="http://schemas.microsoft.com/office/drawing/2014/main" id="{431963DB-52ED-4A23-9132-8122AEF0FAB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22450" y="6845300"/>
          <a:ext cx="799106" cy="920750"/>
        </a:xfrm>
        <a:prstGeom prst="rect">
          <a:avLst/>
        </a:prstGeom>
      </xdr:spPr>
    </xdr:pic>
    <xdr:clientData/>
  </xdr:twoCellAnchor>
  <xdr:twoCellAnchor editAs="oneCell">
    <xdr:from>
      <xdr:col>8</xdr:col>
      <xdr:colOff>450850</xdr:colOff>
      <xdr:row>3</xdr:row>
      <xdr:rowOff>31750</xdr:rowOff>
    </xdr:from>
    <xdr:to>
      <xdr:col>9</xdr:col>
      <xdr:colOff>1174750</xdr:colOff>
      <xdr:row>12</xdr:row>
      <xdr:rowOff>31750</xdr:rowOff>
    </xdr:to>
    <xdr:pic>
      <xdr:nvPicPr>
        <xdr:cNvPr id="3" name="Picture 2">
          <a:extLst>
            <a:ext uri="{FF2B5EF4-FFF2-40B4-BE49-F238E27FC236}">
              <a16:creationId xmlns:a16="http://schemas.microsoft.com/office/drawing/2014/main" id="{CA77F7AF-E1A3-43A8-90B4-2BD3B9DC1E8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781800" y="527050"/>
          <a:ext cx="1485900" cy="1485900"/>
        </a:xfrm>
        <a:prstGeom prst="rect">
          <a:avLst/>
        </a:prstGeom>
      </xdr:spPr>
    </xdr:pic>
    <xdr:clientData/>
  </xdr:twoCellAnchor>
  <xdr:twoCellAnchor editAs="oneCell">
    <xdr:from>
      <xdr:col>1</xdr:col>
      <xdr:colOff>317501</xdr:colOff>
      <xdr:row>34</xdr:row>
      <xdr:rowOff>114301</xdr:rowOff>
    </xdr:from>
    <xdr:to>
      <xdr:col>1</xdr:col>
      <xdr:colOff>1318845</xdr:colOff>
      <xdr:row>37</xdr:row>
      <xdr:rowOff>139702</xdr:rowOff>
    </xdr:to>
    <xdr:pic>
      <xdr:nvPicPr>
        <xdr:cNvPr id="4" name="Picture 3">
          <a:extLst>
            <a:ext uri="{FF2B5EF4-FFF2-40B4-BE49-F238E27FC236}">
              <a16:creationId xmlns:a16="http://schemas.microsoft.com/office/drawing/2014/main" id="{744DFCDA-D748-4F2E-B559-50160EC7C31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71501" y="6883401"/>
          <a:ext cx="1001344" cy="520701"/>
        </a:xfrm>
        <a:prstGeom prst="rect">
          <a:avLst/>
        </a:prstGeom>
      </xdr:spPr>
    </xdr:pic>
    <xdr:clientData/>
  </xdr:twoCellAnchor>
  <xdr:oneCellAnchor>
    <xdr:from>
      <xdr:col>1</xdr:col>
      <xdr:colOff>6350</xdr:colOff>
      <xdr:row>0</xdr:row>
      <xdr:rowOff>120650</xdr:rowOff>
    </xdr:from>
    <xdr:ext cx="1065618" cy="1117600"/>
    <xdr:pic>
      <xdr:nvPicPr>
        <xdr:cNvPr id="5" name="image1.jpeg">
          <a:extLst>
            <a:ext uri="{FF2B5EF4-FFF2-40B4-BE49-F238E27FC236}">
              <a16:creationId xmlns:a16="http://schemas.microsoft.com/office/drawing/2014/main" id="{775730DF-6731-42F7-8B41-5C58915678D3}"/>
            </a:ext>
          </a:extLst>
        </xdr:cNvPr>
        <xdr:cNvPicPr>
          <a:picLocks noChangeAspect="1"/>
        </xdr:cNvPicPr>
      </xdr:nvPicPr>
      <xdr:blipFill>
        <a:blip xmlns:r="http://schemas.openxmlformats.org/officeDocument/2006/relationships" r:embed="rId4" cstate="print">
          <a:extLst>
            <a:ext uri="{BEBA8EAE-BF5A-486C-A8C5-ECC9F3942E4B}">
              <a14:imgProps xmlns:a14="http://schemas.microsoft.com/office/drawing/2010/main">
                <a14:imgLayer r:embed="rId5">
                  <a14:imgEffect>
                    <a14:sharpenSoften amount="50000"/>
                  </a14:imgEffect>
                  <a14:imgEffect>
                    <a14:brightnessContrast bright="20000"/>
                  </a14:imgEffect>
                </a14:imgLayer>
              </a14:imgProps>
            </a:ext>
            <a:ext uri="{28A0092B-C50C-407E-A947-70E740481C1C}">
              <a14:useLocalDpi xmlns:a14="http://schemas.microsoft.com/office/drawing/2010/main" val="0"/>
            </a:ext>
          </a:extLst>
        </a:blip>
        <a:srcRect/>
        <a:stretch/>
      </xdr:blipFill>
      <xdr:spPr>
        <a:xfrm>
          <a:off x="260350" y="120650"/>
          <a:ext cx="1065618" cy="111760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twoCellAnchor editAs="oneCell">
    <xdr:from>
      <xdr:col>2</xdr:col>
      <xdr:colOff>88900</xdr:colOff>
      <xdr:row>34</xdr:row>
      <xdr:rowOff>76200</xdr:rowOff>
    </xdr:from>
    <xdr:to>
      <xdr:col>2</xdr:col>
      <xdr:colOff>888006</xdr:colOff>
      <xdr:row>40</xdr:row>
      <xdr:rowOff>6350</xdr:rowOff>
    </xdr:to>
    <xdr:pic>
      <xdr:nvPicPr>
        <xdr:cNvPr id="2" name="Picture 1">
          <a:extLst>
            <a:ext uri="{FF2B5EF4-FFF2-40B4-BE49-F238E27FC236}">
              <a16:creationId xmlns:a16="http://schemas.microsoft.com/office/drawing/2014/main" id="{CC27CCA5-3438-45C5-910C-42940D835A7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22450" y="6845300"/>
          <a:ext cx="799106" cy="920750"/>
        </a:xfrm>
        <a:prstGeom prst="rect">
          <a:avLst/>
        </a:prstGeom>
      </xdr:spPr>
    </xdr:pic>
    <xdr:clientData/>
  </xdr:twoCellAnchor>
  <xdr:twoCellAnchor editAs="oneCell">
    <xdr:from>
      <xdr:col>8</xdr:col>
      <xdr:colOff>450850</xdr:colOff>
      <xdr:row>3</xdr:row>
      <xdr:rowOff>31750</xdr:rowOff>
    </xdr:from>
    <xdr:to>
      <xdr:col>9</xdr:col>
      <xdr:colOff>1174750</xdr:colOff>
      <xdr:row>12</xdr:row>
      <xdr:rowOff>31750</xdr:rowOff>
    </xdr:to>
    <xdr:pic>
      <xdr:nvPicPr>
        <xdr:cNvPr id="3" name="Picture 2">
          <a:extLst>
            <a:ext uri="{FF2B5EF4-FFF2-40B4-BE49-F238E27FC236}">
              <a16:creationId xmlns:a16="http://schemas.microsoft.com/office/drawing/2014/main" id="{D0515429-170B-44E0-9CBC-0D3F7C1E25E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781800" y="527050"/>
          <a:ext cx="1485900" cy="1485900"/>
        </a:xfrm>
        <a:prstGeom prst="rect">
          <a:avLst/>
        </a:prstGeom>
      </xdr:spPr>
    </xdr:pic>
    <xdr:clientData/>
  </xdr:twoCellAnchor>
  <xdr:twoCellAnchor editAs="oneCell">
    <xdr:from>
      <xdr:col>1</xdr:col>
      <xdr:colOff>317501</xdr:colOff>
      <xdr:row>34</xdr:row>
      <xdr:rowOff>114301</xdr:rowOff>
    </xdr:from>
    <xdr:to>
      <xdr:col>1</xdr:col>
      <xdr:colOff>1318845</xdr:colOff>
      <xdr:row>37</xdr:row>
      <xdr:rowOff>139702</xdr:rowOff>
    </xdr:to>
    <xdr:pic>
      <xdr:nvPicPr>
        <xdr:cNvPr id="4" name="Picture 3">
          <a:extLst>
            <a:ext uri="{FF2B5EF4-FFF2-40B4-BE49-F238E27FC236}">
              <a16:creationId xmlns:a16="http://schemas.microsoft.com/office/drawing/2014/main" id="{2748AFC7-0D4D-47EE-8FE5-FB8E75144A7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71501" y="6883401"/>
          <a:ext cx="1001344" cy="520701"/>
        </a:xfrm>
        <a:prstGeom prst="rect">
          <a:avLst/>
        </a:prstGeom>
      </xdr:spPr>
    </xdr:pic>
    <xdr:clientData/>
  </xdr:twoCellAnchor>
  <xdr:oneCellAnchor>
    <xdr:from>
      <xdr:col>1</xdr:col>
      <xdr:colOff>6350</xdr:colOff>
      <xdr:row>0</xdr:row>
      <xdr:rowOff>120650</xdr:rowOff>
    </xdr:from>
    <xdr:ext cx="1065618" cy="1117600"/>
    <xdr:pic>
      <xdr:nvPicPr>
        <xdr:cNvPr id="5" name="image1.jpeg">
          <a:extLst>
            <a:ext uri="{FF2B5EF4-FFF2-40B4-BE49-F238E27FC236}">
              <a16:creationId xmlns:a16="http://schemas.microsoft.com/office/drawing/2014/main" id="{B0F64914-DB13-472B-ACAD-F3FAB8C5EAA0}"/>
            </a:ext>
          </a:extLst>
        </xdr:cNvPr>
        <xdr:cNvPicPr>
          <a:picLocks noChangeAspect="1"/>
        </xdr:cNvPicPr>
      </xdr:nvPicPr>
      <xdr:blipFill>
        <a:blip xmlns:r="http://schemas.openxmlformats.org/officeDocument/2006/relationships" r:embed="rId4" cstate="print">
          <a:extLst>
            <a:ext uri="{BEBA8EAE-BF5A-486C-A8C5-ECC9F3942E4B}">
              <a14:imgProps xmlns:a14="http://schemas.microsoft.com/office/drawing/2010/main">
                <a14:imgLayer r:embed="rId5">
                  <a14:imgEffect>
                    <a14:sharpenSoften amount="50000"/>
                  </a14:imgEffect>
                  <a14:imgEffect>
                    <a14:brightnessContrast bright="20000"/>
                  </a14:imgEffect>
                </a14:imgLayer>
              </a14:imgProps>
            </a:ext>
            <a:ext uri="{28A0092B-C50C-407E-A947-70E740481C1C}">
              <a14:useLocalDpi xmlns:a14="http://schemas.microsoft.com/office/drawing/2010/main" val="0"/>
            </a:ext>
          </a:extLst>
        </a:blip>
        <a:srcRect/>
        <a:stretch/>
      </xdr:blipFill>
      <xdr:spPr>
        <a:xfrm>
          <a:off x="260350" y="120650"/>
          <a:ext cx="1065618" cy="111760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1</xdr:col>
      <xdr:colOff>32341</xdr:colOff>
      <xdr:row>0</xdr:row>
      <xdr:rowOff>120650</xdr:rowOff>
    </xdr:from>
    <xdr:ext cx="1065618" cy="1117600"/>
    <xdr:pic>
      <xdr:nvPicPr>
        <xdr:cNvPr id="10" name="image1.jpeg">
          <a:extLst>
            <a:ext uri="{FF2B5EF4-FFF2-40B4-BE49-F238E27FC236}">
              <a16:creationId xmlns:a16="http://schemas.microsoft.com/office/drawing/2014/main" id="{00000000-0008-0000-0F00-00000A000000}"/>
            </a:ext>
          </a:extLst>
        </xdr:cNvPr>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sharpenSoften amount="50000"/>
                  </a14:imgEffect>
                  <a14:imgEffect>
                    <a14:brightnessContrast bright="20000"/>
                  </a14:imgEffect>
                </a14:imgLayer>
              </a14:imgProps>
            </a:ext>
            <a:ext uri="{28A0092B-C50C-407E-A947-70E740481C1C}">
              <a14:useLocalDpi xmlns:a14="http://schemas.microsoft.com/office/drawing/2010/main" val="0"/>
            </a:ext>
          </a:extLst>
        </a:blip>
        <a:srcRect/>
        <a:stretch/>
      </xdr:blipFill>
      <xdr:spPr>
        <a:xfrm>
          <a:off x="286341" y="120650"/>
          <a:ext cx="1065618" cy="1117600"/>
        </a:xfrm>
        <a:prstGeom prst="rect">
          <a:avLst/>
        </a:prstGeom>
      </xdr:spPr>
    </xdr:pic>
    <xdr:clientData/>
  </xdr:oneCellAnchor>
  <xdr:twoCellAnchor editAs="oneCell">
    <xdr:from>
      <xdr:col>2</xdr:col>
      <xdr:colOff>63500</xdr:colOff>
      <xdr:row>35</xdr:row>
      <xdr:rowOff>139700</xdr:rowOff>
    </xdr:from>
    <xdr:to>
      <xdr:col>2</xdr:col>
      <xdr:colOff>862606</xdr:colOff>
      <xdr:row>41</xdr:row>
      <xdr:rowOff>69850</xdr:rowOff>
    </xdr:to>
    <xdr:pic>
      <xdr:nvPicPr>
        <xdr:cNvPr id="2" name="Picture 1">
          <a:extLst>
            <a:ext uri="{FF2B5EF4-FFF2-40B4-BE49-F238E27FC236}">
              <a16:creationId xmlns:a16="http://schemas.microsoft.com/office/drawing/2014/main" id="{FBB22947-804F-41FB-B548-DFE925221E88}"/>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797050" y="6889750"/>
          <a:ext cx="799106" cy="920750"/>
        </a:xfrm>
        <a:prstGeom prst="rect">
          <a:avLst/>
        </a:prstGeom>
      </xdr:spPr>
    </xdr:pic>
    <xdr:clientData/>
  </xdr:twoCellAnchor>
  <xdr:twoCellAnchor editAs="oneCell">
    <xdr:from>
      <xdr:col>8</xdr:col>
      <xdr:colOff>450850</xdr:colOff>
      <xdr:row>3</xdr:row>
      <xdr:rowOff>76200</xdr:rowOff>
    </xdr:from>
    <xdr:to>
      <xdr:col>9</xdr:col>
      <xdr:colOff>1174750</xdr:colOff>
      <xdr:row>12</xdr:row>
      <xdr:rowOff>76200</xdr:rowOff>
    </xdr:to>
    <xdr:pic>
      <xdr:nvPicPr>
        <xdr:cNvPr id="3" name="Picture 2">
          <a:extLst>
            <a:ext uri="{FF2B5EF4-FFF2-40B4-BE49-F238E27FC236}">
              <a16:creationId xmlns:a16="http://schemas.microsoft.com/office/drawing/2014/main" id="{03D0B256-39E5-478F-AC85-BEA92737F90F}"/>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343650" y="571500"/>
          <a:ext cx="1485900" cy="1485900"/>
        </a:xfrm>
        <a:prstGeom prst="rect">
          <a:avLst/>
        </a:prstGeom>
      </xdr:spPr>
    </xdr:pic>
    <xdr:clientData/>
  </xdr:twoCellAnchor>
  <xdr:twoCellAnchor editAs="oneCell">
    <xdr:from>
      <xdr:col>1</xdr:col>
      <xdr:colOff>304800</xdr:colOff>
      <xdr:row>34</xdr:row>
      <xdr:rowOff>127000</xdr:rowOff>
    </xdr:from>
    <xdr:to>
      <xdr:col>1</xdr:col>
      <xdr:colOff>1306144</xdr:colOff>
      <xdr:row>37</xdr:row>
      <xdr:rowOff>152400</xdr:rowOff>
    </xdr:to>
    <xdr:pic>
      <xdr:nvPicPr>
        <xdr:cNvPr id="4" name="Picture 3">
          <a:extLst>
            <a:ext uri="{FF2B5EF4-FFF2-40B4-BE49-F238E27FC236}">
              <a16:creationId xmlns:a16="http://schemas.microsoft.com/office/drawing/2014/main" id="{CE172B88-6747-4422-AF0A-B0E8FD3C66C2}"/>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558800" y="6711950"/>
          <a:ext cx="1001344" cy="5207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88900</xdr:colOff>
      <xdr:row>34</xdr:row>
      <xdr:rowOff>76200</xdr:rowOff>
    </xdr:from>
    <xdr:to>
      <xdr:col>2</xdr:col>
      <xdr:colOff>888006</xdr:colOff>
      <xdr:row>40</xdr:row>
      <xdr:rowOff>6350</xdr:rowOff>
    </xdr:to>
    <xdr:pic>
      <xdr:nvPicPr>
        <xdr:cNvPr id="2" name="Picture 1">
          <a:extLst>
            <a:ext uri="{FF2B5EF4-FFF2-40B4-BE49-F238E27FC236}">
              <a16:creationId xmlns:a16="http://schemas.microsoft.com/office/drawing/2014/main" id="{8586BCDE-BA68-41E0-9754-DE7D7E3936A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22450" y="6692900"/>
          <a:ext cx="799106" cy="920750"/>
        </a:xfrm>
        <a:prstGeom prst="rect">
          <a:avLst/>
        </a:prstGeom>
      </xdr:spPr>
    </xdr:pic>
    <xdr:clientData/>
  </xdr:twoCellAnchor>
  <xdr:twoCellAnchor editAs="oneCell">
    <xdr:from>
      <xdr:col>8</xdr:col>
      <xdr:colOff>450850</xdr:colOff>
      <xdr:row>3</xdr:row>
      <xdr:rowOff>31750</xdr:rowOff>
    </xdr:from>
    <xdr:to>
      <xdr:col>9</xdr:col>
      <xdr:colOff>1174750</xdr:colOff>
      <xdr:row>12</xdr:row>
      <xdr:rowOff>31750</xdr:rowOff>
    </xdr:to>
    <xdr:pic>
      <xdr:nvPicPr>
        <xdr:cNvPr id="3" name="Picture 2">
          <a:extLst>
            <a:ext uri="{FF2B5EF4-FFF2-40B4-BE49-F238E27FC236}">
              <a16:creationId xmlns:a16="http://schemas.microsoft.com/office/drawing/2014/main" id="{A10467A7-3E8D-44DD-BF29-4B4C4E6F6F1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426200" y="527050"/>
          <a:ext cx="1485900" cy="1485900"/>
        </a:xfrm>
        <a:prstGeom prst="rect">
          <a:avLst/>
        </a:prstGeom>
      </xdr:spPr>
    </xdr:pic>
    <xdr:clientData/>
  </xdr:twoCellAnchor>
  <xdr:twoCellAnchor editAs="oneCell">
    <xdr:from>
      <xdr:col>1</xdr:col>
      <xdr:colOff>317501</xdr:colOff>
      <xdr:row>34</xdr:row>
      <xdr:rowOff>114301</xdr:rowOff>
    </xdr:from>
    <xdr:to>
      <xdr:col>1</xdr:col>
      <xdr:colOff>1318845</xdr:colOff>
      <xdr:row>37</xdr:row>
      <xdr:rowOff>139702</xdr:rowOff>
    </xdr:to>
    <xdr:pic>
      <xdr:nvPicPr>
        <xdr:cNvPr id="4" name="Picture 3">
          <a:extLst>
            <a:ext uri="{FF2B5EF4-FFF2-40B4-BE49-F238E27FC236}">
              <a16:creationId xmlns:a16="http://schemas.microsoft.com/office/drawing/2014/main" id="{D4026A2A-16DC-4936-B44A-8EDA8362ED6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71501" y="6731001"/>
          <a:ext cx="1001344" cy="520700"/>
        </a:xfrm>
        <a:prstGeom prst="rect">
          <a:avLst/>
        </a:prstGeom>
      </xdr:spPr>
    </xdr:pic>
    <xdr:clientData/>
  </xdr:twoCellAnchor>
  <xdr:oneCellAnchor>
    <xdr:from>
      <xdr:col>1</xdr:col>
      <xdr:colOff>6350</xdr:colOff>
      <xdr:row>0</xdr:row>
      <xdr:rowOff>120650</xdr:rowOff>
    </xdr:from>
    <xdr:ext cx="1065618" cy="1117600"/>
    <xdr:pic>
      <xdr:nvPicPr>
        <xdr:cNvPr id="5" name="image1.jpeg">
          <a:extLst>
            <a:ext uri="{FF2B5EF4-FFF2-40B4-BE49-F238E27FC236}">
              <a16:creationId xmlns:a16="http://schemas.microsoft.com/office/drawing/2014/main" id="{41D4A23F-C3A2-4D19-B827-E488B71E791C}"/>
            </a:ext>
          </a:extLst>
        </xdr:cNvPr>
        <xdr:cNvPicPr>
          <a:picLocks noChangeAspect="1"/>
        </xdr:cNvPicPr>
      </xdr:nvPicPr>
      <xdr:blipFill>
        <a:blip xmlns:r="http://schemas.openxmlformats.org/officeDocument/2006/relationships" r:embed="rId4" cstate="print">
          <a:extLst>
            <a:ext uri="{BEBA8EAE-BF5A-486C-A8C5-ECC9F3942E4B}">
              <a14:imgProps xmlns:a14="http://schemas.microsoft.com/office/drawing/2010/main">
                <a14:imgLayer r:embed="rId5">
                  <a14:imgEffect>
                    <a14:sharpenSoften amount="50000"/>
                  </a14:imgEffect>
                  <a14:imgEffect>
                    <a14:brightnessContrast bright="20000"/>
                  </a14:imgEffect>
                </a14:imgLayer>
              </a14:imgProps>
            </a:ext>
            <a:ext uri="{28A0092B-C50C-407E-A947-70E740481C1C}">
              <a14:useLocalDpi xmlns:a14="http://schemas.microsoft.com/office/drawing/2010/main" val="0"/>
            </a:ext>
          </a:extLst>
        </a:blip>
        <a:srcRect/>
        <a:stretch/>
      </xdr:blipFill>
      <xdr:spPr>
        <a:xfrm>
          <a:off x="260350" y="120650"/>
          <a:ext cx="1065618" cy="111760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twoCellAnchor editAs="oneCell">
    <xdr:from>
      <xdr:col>2</xdr:col>
      <xdr:colOff>88900</xdr:colOff>
      <xdr:row>34</xdr:row>
      <xdr:rowOff>76200</xdr:rowOff>
    </xdr:from>
    <xdr:to>
      <xdr:col>2</xdr:col>
      <xdr:colOff>888006</xdr:colOff>
      <xdr:row>40</xdr:row>
      <xdr:rowOff>6350</xdr:rowOff>
    </xdr:to>
    <xdr:pic>
      <xdr:nvPicPr>
        <xdr:cNvPr id="2" name="Picture 1">
          <a:extLst>
            <a:ext uri="{FF2B5EF4-FFF2-40B4-BE49-F238E27FC236}">
              <a16:creationId xmlns:a16="http://schemas.microsoft.com/office/drawing/2014/main" id="{B8C5850E-1CCE-49E4-A42A-8DCCDD2DD9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22450" y="6845300"/>
          <a:ext cx="799106" cy="920750"/>
        </a:xfrm>
        <a:prstGeom prst="rect">
          <a:avLst/>
        </a:prstGeom>
      </xdr:spPr>
    </xdr:pic>
    <xdr:clientData/>
  </xdr:twoCellAnchor>
  <xdr:twoCellAnchor editAs="oneCell">
    <xdr:from>
      <xdr:col>8</xdr:col>
      <xdr:colOff>450850</xdr:colOff>
      <xdr:row>3</xdr:row>
      <xdr:rowOff>31750</xdr:rowOff>
    </xdr:from>
    <xdr:to>
      <xdr:col>9</xdr:col>
      <xdr:colOff>1174750</xdr:colOff>
      <xdr:row>12</xdr:row>
      <xdr:rowOff>31750</xdr:rowOff>
    </xdr:to>
    <xdr:pic>
      <xdr:nvPicPr>
        <xdr:cNvPr id="3" name="Picture 2">
          <a:extLst>
            <a:ext uri="{FF2B5EF4-FFF2-40B4-BE49-F238E27FC236}">
              <a16:creationId xmlns:a16="http://schemas.microsoft.com/office/drawing/2014/main" id="{A9C61F6C-CBD6-4B94-A027-E3D8019065A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781800" y="527050"/>
          <a:ext cx="1485900" cy="1485900"/>
        </a:xfrm>
        <a:prstGeom prst="rect">
          <a:avLst/>
        </a:prstGeom>
      </xdr:spPr>
    </xdr:pic>
    <xdr:clientData/>
  </xdr:twoCellAnchor>
  <xdr:twoCellAnchor editAs="oneCell">
    <xdr:from>
      <xdr:col>1</xdr:col>
      <xdr:colOff>317501</xdr:colOff>
      <xdr:row>34</xdr:row>
      <xdr:rowOff>114301</xdr:rowOff>
    </xdr:from>
    <xdr:to>
      <xdr:col>1</xdr:col>
      <xdr:colOff>1318845</xdr:colOff>
      <xdr:row>37</xdr:row>
      <xdr:rowOff>139702</xdr:rowOff>
    </xdr:to>
    <xdr:pic>
      <xdr:nvPicPr>
        <xdr:cNvPr id="4" name="Picture 3">
          <a:extLst>
            <a:ext uri="{FF2B5EF4-FFF2-40B4-BE49-F238E27FC236}">
              <a16:creationId xmlns:a16="http://schemas.microsoft.com/office/drawing/2014/main" id="{13AAF838-0047-4B2C-B731-09FC595EE52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71501" y="6883401"/>
          <a:ext cx="1001344" cy="520701"/>
        </a:xfrm>
        <a:prstGeom prst="rect">
          <a:avLst/>
        </a:prstGeom>
      </xdr:spPr>
    </xdr:pic>
    <xdr:clientData/>
  </xdr:twoCellAnchor>
  <xdr:oneCellAnchor>
    <xdr:from>
      <xdr:col>1</xdr:col>
      <xdr:colOff>6350</xdr:colOff>
      <xdr:row>0</xdr:row>
      <xdr:rowOff>120650</xdr:rowOff>
    </xdr:from>
    <xdr:ext cx="1065618" cy="1117600"/>
    <xdr:pic>
      <xdr:nvPicPr>
        <xdr:cNvPr id="5" name="image1.jpeg">
          <a:extLst>
            <a:ext uri="{FF2B5EF4-FFF2-40B4-BE49-F238E27FC236}">
              <a16:creationId xmlns:a16="http://schemas.microsoft.com/office/drawing/2014/main" id="{EEA8D047-F6DA-442C-9E99-117DC44F7AD9}"/>
            </a:ext>
          </a:extLst>
        </xdr:cNvPr>
        <xdr:cNvPicPr>
          <a:picLocks noChangeAspect="1"/>
        </xdr:cNvPicPr>
      </xdr:nvPicPr>
      <xdr:blipFill>
        <a:blip xmlns:r="http://schemas.openxmlformats.org/officeDocument/2006/relationships" r:embed="rId4" cstate="print">
          <a:extLst>
            <a:ext uri="{BEBA8EAE-BF5A-486C-A8C5-ECC9F3942E4B}">
              <a14:imgProps xmlns:a14="http://schemas.microsoft.com/office/drawing/2010/main">
                <a14:imgLayer r:embed="rId5">
                  <a14:imgEffect>
                    <a14:sharpenSoften amount="50000"/>
                  </a14:imgEffect>
                  <a14:imgEffect>
                    <a14:brightnessContrast bright="20000"/>
                  </a14:imgEffect>
                </a14:imgLayer>
              </a14:imgProps>
            </a:ext>
            <a:ext uri="{28A0092B-C50C-407E-A947-70E740481C1C}">
              <a14:useLocalDpi xmlns:a14="http://schemas.microsoft.com/office/drawing/2010/main" val="0"/>
            </a:ext>
          </a:extLst>
        </a:blip>
        <a:srcRect/>
        <a:stretch/>
      </xdr:blipFill>
      <xdr:spPr>
        <a:xfrm>
          <a:off x="260350" y="120650"/>
          <a:ext cx="1065618" cy="1117600"/>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twoCellAnchor editAs="oneCell">
    <xdr:from>
      <xdr:col>2</xdr:col>
      <xdr:colOff>88900</xdr:colOff>
      <xdr:row>34</xdr:row>
      <xdr:rowOff>76200</xdr:rowOff>
    </xdr:from>
    <xdr:to>
      <xdr:col>2</xdr:col>
      <xdr:colOff>888006</xdr:colOff>
      <xdr:row>40</xdr:row>
      <xdr:rowOff>6350</xdr:rowOff>
    </xdr:to>
    <xdr:pic>
      <xdr:nvPicPr>
        <xdr:cNvPr id="2" name="Picture 1">
          <a:extLst>
            <a:ext uri="{FF2B5EF4-FFF2-40B4-BE49-F238E27FC236}">
              <a16:creationId xmlns:a16="http://schemas.microsoft.com/office/drawing/2014/main" id="{1C9D9E45-F514-4C01-89F9-0ADE730BFF3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22450" y="6845300"/>
          <a:ext cx="799106" cy="920750"/>
        </a:xfrm>
        <a:prstGeom prst="rect">
          <a:avLst/>
        </a:prstGeom>
      </xdr:spPr>
    </xdr:pic>
    <xdr:clientData/>
  </xdr:twoCellAnchor>
  <xdr:twoCellAnchor editAs="oneCell">
    <xdr:from>
      <xdr:col>8</xdr:col>
      <xdr:colOff>450850</xdr:colOff>
      <xdr:row>3</xdr:row>
      <xdr:rowOff>31750</xdr:rowOff>
    </xdr:from>
    <xdr:to>
      <xdr:col>9</xdr:col>
      <xdr:colOff>1174750</xdr:colOff>
      <xdr:row>12</xdr:row>
      <xdr:rowOff>31750</xdr:rowOff>
    </xdr:to>
    <xdr:pic>
      <xdr:nvPicPr>
        <xdr:cNvPr id="3" name="Picture 2">
          <a:extLst>
            <a:ext uri="{FF2B5EF4-FFF2-40B4-BE49-F238E27FC236}">
              <a16:creationId xmlns:a16="http://schemas.microsoft.com/office/drawing/2014/main" id="{7AD70500-7E31-4C20-A29D-0A633D656BE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781800" y="527050"/>
          <a:ext cx="1485900" cy="1485900"/>
        </a:xfrm>
        <a:prstGeom prst="rect">
          <a:avLst/>
        </a:prstGeom>
      </xdr:spPr>
    </xdr:pic>
    <xdr:clientData/>
  </xdr:twoCellAnchor>
  <xdr:twoCellAnchor editAs="oneCell">
    <xdr:from>
      <xdr:col>1</xdr:col>
      <xdr:colOff>317501</xdr:colOff>
      <xdr:row>34</xdr:row>
      <xdr:rowOff>114301</xdr:rowOff>
    </xdr:from>
    <xdr:to>
      <xdr:col>1</xdr:col>
      <xdr:colOff>1318845</xdr:colOff>
      <xdr:row>37</xdr:row>
      <xdr:rowOff>139702</xdr:rowOff>
    </xdr:to>
    <xdr:pic>
      <xdr:nvPicPr>
        <xdr:cNvPr id="4" name="Picture 3">
          <a:extLst>
            <a:ext uri="{FF2B5EF4-FFF2-40B4-BE49-F238E27FC236}">
              <a16:creationId xmlns:a16="http://schemas.microsoft.com/office/drawing/2014/main" id="{9EBA342B-8A0F-4188-BE95-13EB291F622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71501" y="6883401"/>
          <a:ext cx="1001344" cy="520701"/>
        </a:xfrm>
        <a:prstGeom prst="rect">
          <a:avLst/>
        </a:prstGeom>
      </xdr:spPr>
    </xdr:pic>
    <xdr:clientData/>
  </xdr:twoCellAnchor>
  <xdr:oneCellAnchor>
    <xdr:from>
      <xdr:col>1</xdr:col>
      <xdr:colOff>6350</xdr:colOff>
      <xdr:row>0</xdr:row>
      <xdr:rowOff>120650</xdr:rowOff>
    </xdr:from>
    <xdr:ext cx="1065618" cy="1117600"/>
    <xdr:pic>
      <xdr:nvPicPr>
        <xdr:cNvPr id="5" name="image1.jpeg">
          <a:extLst>
            <a:ext uri="{FF2B5EF4-FFF2-40B4-BE49-F238E27FC236}">
              <a16:creationId xmlns:a16="http://schemas.microsoft.com/office/drawing/2014/main" id="{59792DD4-00C5-4B74-A807-DDE2983A733B}"/>
            </a:ext>
          </a:extLst>
        </xdr:cNvPr>
        <xdr:cNvPicPr>
          <a:picLocks noChangeAspect="1"/>
        </xdr:cNvPicPr>
      </xdr:nvPicPr>
      <xdr:blipFill>
        <a:blip xmlns:r="http://schemas.openxmlformats.org/officeDocument/2006/relationships" r:embed="rId4" cstate="print">
          <a:extLst>
            <a:ext uri="{BEBA8EAE-BF5A-486C-A8C5-ECC9F3942E4B}">
              <a14:imgProps xmlns:a14="http://schemas.microsoft.com/office/drawing/2010/main">
                <a14:imgLayer r:embed="rId5">
                  <a14:imgEffect>
                    <a14:sharpenSoften amount="50000"/>
                  </a14:imgEffect>
                  <a14:imgEffect>
                    <a14:brightnessContrast bright="20000"/>
                  </a14:imgEffect>
                </a14:imgLayer>
              </a14:imgProps>
            </a:ext>
            <a:ext uri="{28A0092B-C50C-407E-A947-70E740481C1C}">
              <a14:useLocalDpi xmlns:a14="http://schemas.microsoft.com/office/drawing/2010/main" val="0"/>
            </a:ext>
          </a:extLst>
        </a:blip>
        <a:srcRect/>
        <a:stretch/>
      </xdr:blipFill>
      <xdr:spPr>
        <a:xfrm>
          <a:off x="260350" y="120650"/>
          <a:ext cx="1065618" cy="1117600"/>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D36068-6F00-441B-AAE6-28A6EFF808A3}">
  <sheetPr>
    <tabColor theme="8"/>
  </sheetPr>
  <dimension ref="A2:J43"/>
  <sheetViews>
    <sheetView showGridLines="0" view="pageBreakPreview" topLeftCell="A26" zoomScaleNormal="100" zoomScaleSheetLayoutView="100" workbookViewId="0">
      <selection activeCell="J26" sqref="J26:J30"/>
    </sheetView>
  </sheetViews>
  <sheetFormatPr defaultColWidth="8.796875" defaultRowHeight="13" x14ac:dyDescent="0.3"/>
  <cols>
    <col min="1" max="1" width="4" style="36" customWidth="1"/>
    <col min="2" max="2" width="23.296875" style="36" customWidth="1"/>
    <col min="3" max="3" width="15.296875" style="36" customWidth="1"/>
    <col min="4" max="4" width="14" style="36" customWidth="1"/>
    <col min="5" max="5" width="11.796875" style="36" customWidth="1"/>
    <col min="6" max="6" width="8.19921875" style="36" customWidth="1"/>
    <col min="7" max="7" width="11.296875" style="36" bestFit="1" customWidth="1"/>
    <col min="8" max="9" width="12" style="36" customWidth="1"/>
    <col min="10" max="10" width="18.796875" style="36" customWidth="1"/>
    <col min="11" max="16384" width="8.796875" style="36"/>
  </cols>
  <sheetData>
    <row r="2" spans="1:10" x14ac:dyDescent="0.3">
      <c r="J2" s="37" t="s">
        <v>24</v>
      </c>
    </row>
    <row r="3" spans="1:10" x14ac:dyDescent="0.3">
      <c r="A3" s="109" t="s">
        <v>0</v>
      </c>
      <c r="B3" s="109"/>
      <c r="C3" s="109"/>
      <c r="D3" s="109"/>
      <c r="E3" s="109"/>
      <c r="F3" s="109"/>
      <c r="G3" s="109"/>
      <c r="H3" s="109"/>
      <c r="I3" s="109"/>
      <c r="J3" s="109"/>
    </row>
    <row r="4" spans="1:10" x14ac:dyDescent="0.3">
      <c r="A4" s="109" t="s">
        <v>1</v>
      </c>
      <c r="B4" s="109"/>
      <c r="C4" s="109"/>
      <c r="D4" s="109"/>
      <c r="E4" s="109"/>
      <c r="F4" s="109"/>
      <c r="G4" s="109"/>
      <c r="H4" s="109"/>
      <c r="I4" s="109"/>
      <c r="J4" s="109"/>
    </row>
    <row r="5" spans="1:10" x14ac:dyDescent="0.3">
      <c r="A5" s="109" t="s">
        <v>2</v>
      </c>
      <c r="B5" s="109"/>
      <c r="C5" s="109"/>
      <c r="D5" s="109"/>
      <c r="E5" s="109"/>
      <c r="F5" s="109"/>
      <c r="G5" s="109"/>
      <c r="H5" s="109"/>
      <c r="I5" s="109"/>
      <c r="J5" s="109"/>
    </row>
    <row r="6" spans="1:10" x14ac:dyDescent="0.3">
      <c r="A6" s="109" t="s">
        <v>3</v>
      </c>
      <c r="B6" s="109"/>
      <c r="C6" s="109"/>
      <c r="D6" s="109"/>
      <c r="E6" s="109"/>
      <c r="F6" s="109"/>
      <c r="G6" s="109"/>
      <c r="H6" s="109"/>
      <c r="I6" s="109"/>
      <c r="J6" s="109"/>
    </row>
    <row r="9" spans="1:10" x14ac:dyDescent="0.3">
      <c r="A9" s="36" t="s">
        <v>12</v>
      </c>
      <c r="D9" s="36" t="s">
        <v>37</v>
      </c>
    </row>
    <row r="11" spans="1:10" x14ac:dyDescent="0.3">
      <c r="A11" s="36" t="s">
        <v>11</v>
      </c>
      <c r="D11" s="36" t="s">
        <v>38</v>
      </c>
    </row>
    <row r="13" spans="1:10" x14ac:dyDescent="0.3">
      <c r="A13" s="36" t="s">
        <v>10</v>
      </c>
      <c r="D13" s="36" t="s">
        <v>39</v>
      </c>
    </row>
    <row r="15" spans="1:10" x14ac:dyDescent="0.3">
      <c r="A15" s="36" t="s">
        <v>5</v>
      </c>
      <c r="C15" s="36" t="str">
        <f>'sample VDS_format'!L4</f>
        <v>e.g. Month_001</v>
      </c>
      <c r="I15" s="65" t="s">
        <v>43</v>
      </c>
      <c r="J15" s="67" t="str">
        <f>'sample VDS_format'!E4</f>
        <v>MM/DD/YYYY</v>
      </c>
    </row>
    <row r="17" spans="1:10" x14ac:dyDescent="0.3">
      <c r="A17" s="110" t="s">
        <v>4</v>
      </c>
      <c r="B17" s="110"/>
      <c r="C17" s="110"/>
      <c r="D17" s="110"/>
      <c r="E17" s="110"/>
      <c r="F17" s="110"/>
      <c r="G17" s="110"/>
      <c r="H17" s="110"/>
      <c r="I17" s="110"/>
      <c r="J17" s="110"/>
    </row>
    <row r="18" spans="1:10" x14ac:dyDescent="0.3">
      <c r="A18" s="110"/>
      <c r="B18" s="110"/>
      <c r="C18" s="110"/>
      <c r="D18" s="110"/>
      <c r="E18" s="110"/>
      <c r="F18" s="110"/>
      <c r="G18" s="110"/>
      <c r="H18" s="110"/>
      <c r="I18" s="110"/>
      <c r="J18" s="110"/>
    </row>
    <row r="19" spans="1:10" x14ac:dyDescent="0.3">
      <c r="A19" s="110"/>
      <c r="B19" s="110"/>
      <c r="C19" s="110"/>
      <c r="D19" s="110"/>
      <c r="E19" s="110"/>
      <c r="F19" s="110"/>
      <c r="G19" s="110"/>
      <c r="H19" s="110"/>
      <c r="I19" s="110"/>
      <c r="J19" s="110"/>
    </row>
    <row r="23" spans="1:10" ht="30.65" customHeight="1" x14ac:dyDescent="0.3">
      <c r="A23" s="102" t="s">
        <v>13</v>
      </c>
      <c r="B23" s="112" t="s">
        <v>14</v>
      </c>
      <c r="C23" s="113"/>
      <c r="D23" s="112" t="s">
        <v>15</v>
      </c>
      <c r="E23" s="113"/>
      <c r="F23" s="114" t="s">
        <v>22</v>
      </c>
      <c r="G23" s="115"/>
      <c r="H23" s="102" t="s">
        <v>9</v>
      </c>
      <c r="I23" s="100" t="s">
        <v>23</v>
      </c>
      <c r="J23" s="102" t="s">
        <v>16</v>
      </c>
    </row>
    <row r="24" spans="1:10" ht="16.399999999999999" customHeight="1" x14ac:dyDescent="0.3">
      <c r="A24" s="111"/>
      <c r="B24" s="38" t="s">
        <v>17</v>
      </c>
      <c r="C24" s="38" t="s">
        <v>18</v>
      </c>
      <c r="D24" s="38" t="s">
        <v>19</v>
      </c>
      <c r="E24" s="38" t="s">
        <v>20</v>
      </c>
      <c r="F24" s="38" t="s">
        <v>19</v>
      </c>
      <c r="G24" s="38" t="s">
        <v>20</v>
      </c>
      <c r="H24" s="101"/>
      <c r="I24" s="101"/>
      <c r="J24" s="103"/>
    </row>
    <row r="25" spans="1:10" ht="25" customHeight="1" x14ac:dyDescent="0.3">
      <c r="A25" s="39">
        <v>1</v>
      </c>
      <c r="B25" s="40" t="str">
        <f>'sample VDS_format'!B4</f>
        <v>e.g. XYZ Limited</v>
      </c>
      <c r="C25" s="29" t="str">
        <f>'sample VDS_format'!C4</f>
        <v>e.g. 4562367890175</v>
      </c>
      <c r="D25" s="29" t="str">
        <f>'sample VDS_format'!D4</f>
        <v>e.g. XXXX-0023778273</v>
      </c>
      <c r="E25" s="61" t="str">
        <f>'sample VDS_format'!E4</f>
        <v>MM/DD/YYYY</v>
      </c>
      <c r="F25" s="29">
        <f>'sample VDS_format'!F4</f>
        <v>0</v>
      </c>
      <c r="G25" s="29">
        <f>'sample VDS_format'!G4</f>
        <v>0</v>
      </c>
      <c r="H25" s="29">
        <f>'sample VDS_format'!H4</f>
        <v>11935</v>
      </c>
      <c r="I25" s="29">
        <f>'sample VDS_format'!I4</f>
        <v>1085</v>
      </c>
      <c r="J25" s="42">
        <f>I31</f>
        <v>1085</v>
      </c>
    </row>
    <row r="26" spans="1:10" ht="26" customHeight="1" x14ac:dyDescent="0.3">
      <c r="A26" s="43">
        <v>2</v>
      </c>
      <c r="B26" s="40"/>
      <c r="C26" s="29"/>
      <c r="D26" s="29"/>
      <c r="E26" s="44"/>
      <c r="F26" s="29"/>
      <c r="G26" s="29"/>
      <c r="H26" s="24"/>
      <c r="I26" s="24"/>
      <c r="J26" s="116" t="s">
        <v>49</v>
      </c>
    </row>
    <row r="27" spans="1:10" ht="25.5" customHeight="1" x14ac:dyDescent="0.3">
      <c r="A27" s="45"/>
      <c r="B27" s="46"/>
      <c r="C27" s="46"/>
      <c r="D27" s="46"/>
      <c r="E27" s="47"/>
      <c r="F27" s="46"/>
      <c r="G27" s="46"/>
      <c r="H27" s="27"/>
      <c r="I27" s="27"/>
      <c r="J27" s="117"/>
    </row>
    <row r="28" spans="1:10" ht="15.5" customHeight="1" x14ac:dyDescent="0.3">
      <c r="A28" s="48"/>
      <c r="B28" s="49"/>
      <c r="C28" s="50"/>
      <c r="D28" s="50"/>
      <c r="E28" s="50"/>
      <c r="F28" s="51"/>
      <c r="G28" s="52"/>
      <c r="H28" s="53"/>
      <c r="I28" s="54"/>
      <c r="J28" s="117"/>
    </row>
    <row r="29" spans="1:10" ht="15.5" customHeight="1" x14ac:dyDescent="0.3">
      <c r="A29" s="48"/>
      <c r="B29" s="49"/>
      <c r="C29" s="50"/>
      <c r="D29" s="50"/>
      <c r="E29" s="50"/>
      <c r="F29" s="51"/>
      <c r="G29" s="52"/>
      <c r="H29" s="53"/>
      <c r="I29" s="54"/>
      <c r="J29" s="117"/>
    </row>
    <row r="30" spans="1:10" ht="24.5" customHeight="1" x14ac:dyDescent="0.3">
      <c r="A30" s="55"/>
      <c r="B30" s="56"/>
      <c r="C30" s="57"/>
      <c r="D30" s="57"/>
      <c r="E30" s="57"/>
      <c r="F30" s="58"/>
      <c r="G30" s="59"/>
      <c r="H30" s="17"/>
      <c r="I30" s="60"/>
      <c r="J30" s="118"/>
    </row>
    <row r="31" spans="1:10" ht="13.5" customHeight="1" x14ac:dyDescent="0.3">
      <c r="A31" s="106" t="s">
        <v>21</v>
      </c>
      <c r="B31" s="107"/>
      <c r="C31" s="107"/>
      <c r="D31" s="107"/>
      <c r="E31" s="107"/>
      <c r="F31" s="107"/>
      <c r="G31" s="108"/>
      <c r="H31" s="31">
        <f>SUM(H25:H30)</f>
        <v>11935</v>
      </c>
      <c r="I31" s="32">
        <f>SUM(I25:I30)</f>
        <v>1085</v>
      </c>
      <c r="J31" s="34"/>
    </row>
    <row r="34" spans="1:1" x14ac:dyDescent="0.3">
      <c r="A34" s="36" t="s">
        <v>6</v>
      </c>
    </row>
    <row r="35" spans="1:1" x14ac:dyDescent="0.3">
      <c r="A35" s="36" t="s">
        <v>7</v>
      </c>
    </row>
    <row r="39" spans="1:1" x14ac:dyDescent="0.3">
      <c r="A39" s="36" t="s">
        <v>40</v>
      </c>
    </row>
    <row r="40" spans="1:1" x14ac:dyDescent="0.3">
      <c r="A40" s="36" t="s">
        <v>41</v>
      </c>
    </row>
    <row r="43" spans="1:1" x14ac:dyDescent="0.3">
      <c r="A43" s="36" t="s">
        <v>8</v>
      </c>
    </row>
  </sheetData>
  <mergeCells count="14">
    <mergeCell ref="J23:J24"/>
    <mergeCell ref="J26:J30"/>
    <mergeCell ref="A31:G31"/>
    <mergeCell ref="A23:A24"/>
    <mergeCell ref="B23:C23"/>
    <mergeCell ref="D23:E23"/>
    <mergeCell ref="F23:G23"/>
    <mergeCell ref="H23:H24"/>
    <mergeCell ref="I23:I24"/>
    <mergeCell ref="A17:J19"/>
    <mergeCell ref="A3:J3"/>
    <mergeCell ref="A4:J4"/>
    <mergeCell ref="A5:J5"/>
    <mergeCell ref="A6:J6"/>
  </mergeCells>
  <pageMargins left="0.7" right="0.14000000000000001" top="0.75" bottom="0.75" header="0.3" footer="0.3"/>
  <pageSetup paperSize="9" scale="8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A418D-2EBA-4F27-BC8E-554B87F94A94}">
  <sheetPr>
    <tabColor theme="8"/>
  </sheetPr>
  <dimension ref="A2:J43"/>
  <sheetViews>
    <sheetView showGridLines="0" view="pageBreakPreview" topLeftCell="D14" zoomScaleNormal="100" zoomScaleSheetLayoutView="100" workbookViewId="0">
      <selection activeCell="J26" sqref="J26:J30"/>
    </sheetView>
  </sheetViews>
  <sheetFormatPr defaultColWidth="8.796875" defaultRowHeight="13" x14ac:dyDescent="0.3"/>
  <cols>
    <col min="1" max="1" width="4" style="36" customWidth="1"/>
    <col min="2" max="2" width="23.296875" style="36" customWidth="1"/>
    <col min="3" max="3" width="15.296875" style="36" customWidth="1"/>
    <col min="4" max="4" width="13.296875" style="36" customWidth="1"/>
    <col min="5" max="5" width="11.796875" style="36" customWidth="1"/>
    <col min="6" max="6" width="8.19921875" style="36" customWidth="1"/>
    <col min="7" max="7" width="11.296875" style="36" bestFit="1" customWidth="1"/>
    <col min="8" max="9" width="12" style="36" customWidth="1"/>
    <col min="10" max="10" width="18.796875" style="36" customWidth="1"/>
    <col min="11" max="16384" width="8.796875" style="36"/>
  </cols>
  <sheetData>
    <row r="2" spans="1:10" x14ac:dyDescent="0.3">
      <c r="J2" s="37" t="s">
        <v>24</v>
      </c>
    </row>
    <row r="3" spans="1:10" x14ac:dyDescent="0.3">
      <c r="A3" s="109" t="s">
        <v>0</v>
      </c>
      <c r="B3" s="109"/>
      <c r="C3" s="109"/>
      <c r="D3" s="109"/>
      <c r="E3" s="109"/>
      <c r="F3" s="109"/>
      <c r="G3" s="109"/>
      <c r="H3" s="109"/>
      <c r="I3" s="109"/>
      <c r="J3" s="109"/>
    </row>
    <row r="4" spans="1:10" x14ac:dyDescent="0.3">
      <c r="A4" s="109" t="s">
        <v>1</v>
      </c>
      <c r="B4" s="109"/>
      <c r="C4" s="109"/>
      <c r="D4" s="109"/>
      <c r="E4" s="109"/>
      <c r="F4" s="109"/>
      <c r="G4" s="109"/>
      <c r="H4" s="109"/>
      <c r="I4" s="109"/>
      <c r="J4" s="109"/>
    </row>
    <row r="5" spans="1:10" x14ac:dyDescent="0.3">
      <c r="A5" s="109" t="s">
        <v>2</v>
      </c>
      <c r="B5" s="109"/>
      <c r="C5" s="109"/>
      <c r="D5" s="109"/>
      <c r="E5" s="109"/>
      <c r="F5" s="109"/>
      <c r="G5" s="109"/>
      <c r="H5" s="109"/>
      <c r="I5" s="109"/>
      <c r="J5" s="109"/>
    </row>
    <row r="6" spans="1:10" x14ac:dyDescent="0.3">
      <c r="A6" s="109" t="s">
        <v>3</v>
      </c>
      <c r="B6" s="109"/>
      <c r="C6" s="109"/>
      <c r="D6" s="109"/>
      <c r="E6" s="109"/>
      <c r="F6" s="109"/>
      <c r="G6" s="109"/>
      <c r="H6" s="109"/>
      <c r="I6" s="109"/>
      <c r="J6" s="109"/>
    </row>
    <row r="9" spans="1:10" x14ac:dyDescent="0.3">
      <c r="A9" s="36" t="s">
        <v>12</v>
      </c>
      <c r="D9" s="36" t="s">
        <v>37</v>
      </c>
    </row>
    <row r="11" spans="1:10" x14ac:dyDescent="0.3">
      <c r="A11" s="36" t="s">
        <v>11</v>
      </c>
      <c r="D11" s="36" t="s">
        <v>38</v>
      </c>
    </row>
    <row r="13" spans="1:10" x14ac:dyDescent="0.3">
      <c r="A13" s="36" t="s">
        <v>10</v>
      </c>
      <c r="D13" s="36" t="s">
        <v>39</v>
      </c>
    </row>
    <row r="15" spans="1:10" x14ac:dyDescent="0.3">
      <c r="A15" s="36" t="s">
        <v>5</v>
      </c>
      <c r="C15" s="36" t="e">
        <f>'sample VDS_format'!#REF!</f>
        <v>#REF!</v>
      </c>
      <c r="I15" s="65" t="s">
        <v>43</v>
      </c>
      <c r="J15" s="67" t="e">
        <f>'sample VDS_format'!#REF!</f>
        <v>#REF!</v>
      </c>
    </row>
    <row r="17" spans="1:10" x14ac:dyDescent="0.3">
      <c r="A17" s="110" t="s">
        <v>4</v>
      </c>
      <c r="B17" s="110"/>
      <c r="C17" s="110"/>
      <c r="D17" s="110"/>
      <c r="E17" s="110"/>
      <c r="F17" s="110"/>
      <c r="G17" s="110"/>
      <c r="H17" s="110"/>
      <c r="I17" s="110"/>
      <c r="J17" s="110"/>
    </row>
    <row r="18" spans="1:10" x14ac:dyDescent="0.3">
      <c r="A18" s="110"/>
      <c r="B18" s="110"/>
      <c r="C18" s="110"/>
      <c r="D18" s="110"/>
      <c r="E18" s="110"/>
      <c r="F18" s="110"/>
      <c r="G18" s="110"/>
      <c r="H18" s="110"/>
      <c r="I18" s="110"/>
      <c r="J18" s="110"/>
    </row>
    <row r="19" spans="1:10" x14ac:dyDescent="0.3">
      <c r="A19" s="110"/>
      <c r="B19" s="110"/>
      <c r="C19" s="110"/>
      <c r="D19" s="110"/>
      <c r="E19" s="110"/>
      <c r="F19" s="110"/>
      <c r="G19" s="110"/>
      <c r="H19" s="110"/>
      <c r="I19" s="110"/>
      <c r="J19" s="110"/>
    </row>
    <row r="23" spans="1:10" ht="30.65" customHeight="1" x14ac:dyDescent="0.3">
      <c r="A23" s="102" t="s">
        <v>13</v>
      </c>
      <c r="B23" s="112" t="s">
        <v>14</v>
      </c>
      <c r="C23" s="113"/>
      <c r="D23" s="112" t="s">
        <v>15</v>
      </c>
      <c r="E23" s="113"/>
      <c r="F23" s="114" t="s">
        <v>22</v>
      </c>
      <c r="G23" s="115"/>
      <c r="H23" s="102" t="s">
        <v>9</v>
      </c>
      <c r="I23" s="100" t="s">
        <v>23</v>
      </c>
      <c r="J23" s="102" t="s">
        <v>16</v>
      </c>
    </row>
    <row r="24" spans="1:10" ht="16.399999999999999" customHeight="1" x14ac:dyDescent="0.3">
      <c r="A24" s="111"/>
      <c r="B24" s="38" t="s">
        <v>17</v>
      </c>
      <c r="C24" s="38" t="s">
        <v>18</v>
      </c>
      <c r="D24" s="38" t="s">
        <v>19</v>
      </c>
      <c r="E24" s="38" t="s">
        <v>20</v>
      </c>
      <c r="F24" s="38" t="s">
        <v>19</v>
      </c>
      <c r="G24" s="38" t="s">
        <v>20</v>
      </c>
      <c r="H24" s="101"/>
      <c r="I24" s="101"/>
      <c r="J24" s="103"/>
    </row>
    <row r="25" spans="1:10" ht="25" customHeight="1" x14ac:dyDescent="0.3">
      <c r="A25" s="39">
        <v>1</v>
      </c>
      <c r="B25" s="40" t="e">
        <f>'sample VDS_format'!#REF!</f>
        <v>#REF!</v>
      </c>
      <c r="C25" s="29" t="e">
        <f>'sample VDS_format'!#REF!</f>
        <v>#REF!</v>
      </c>
      <c r="D25" s="40" t="e">
        <f>'sample VDS_format'!#REF!</f>
        <v>#REF!</v>
      </c>
      <c r="E25" s="41" t="e">
        <f>'sample VDS_format'!#REF!</f>
        <v>#REF!</v>
      </c>
      <c r="F25" s="29" t="e">
        <f>'sample VDS_format'!#REF!</f>
        <v>#REF!</v>
      </c>
      <c r="G25" s="29" t="e">
        <f>'sample VDS_format'!#REF!</f>
        <v>#REF!</v>
      </c>
      <c r="H25" s="29" t="e">
        <f>'sample VDS_format'!#REF!</f>
        <v>#REF!</v>
      </c>
      <c r="I25" s="29" t="e">
        <f>'sample VDS_format'!#REF!</f>
        <v>#REF!</v>
      </c>
      <c r="J25" s="42" t="e">
        <f>I31</f>
        <v>#REF!</v>
      </c>
    </row>
    <row r="26" spans="1:10" ht="26" customHeight="1" x14ac:dyDescent="0.3">
      <c r="A26" s="39">
        <v>2</v>
      </c>
      <c r="B26" s="40"/>
      <c r="C26" s="29"/>
      <c r="D26" s="40"/>
      <c r="E26" s="41"/>
      <c r="F26" s="29"/>
      <c r="G26" s="29"/>
      <c r="H26" s="29"/>
      <c r="I26" s="29"/>
      <c r="J26" s="104" t="s">
        <v>52</v>
      </c>
    </row>
    <row r="27" spans="1:10" ht="25.5" customHeight="1" x14ac:dyDescent="0.3">
      <c r="A27" s="45"/>
      <c r="B27" s="46"/>
      <c r="C27" s="46"/>
      <c r="D27" s="46"/>
      <c r="E27" s="47"/>
      <c r="F27" s="46"/>
      <c r="G27" s="46"/>
      <c r="H27" s="27"/>
      <c r="I27" s="27"/>
      <c r="J27" s="104"/>
    </row>
    <row r="28" spans="1:10" ht="15.5" customHeight="1" x14ac:dyDescent="0.3">
      <c r="A28" s="48"/>
      <c r="B28" s="49"/>
      <c r="C28" s="50"/>
      <c r="D28" s="50"/>
      <c r="E28" s="50"/>
      <c r="F28" s="51"/>
      <c r="G28" s="52"/>
      <c r="H28" s="53"/>
      <c r="I28" s="54"/>
      <c r="J28" s="104"/>
    </row>
    <row r="29" spans="1:10" ht="15.5" customHeight="1" x14ac:dyDescent="0.3">
      <c r="A29" s="48"/>
      <c r="B29" s="49"/>
      <c r="C29" s="50"/>
      <c r="D29" s="50"/>
      <c r="E29" s="50"/>
      <c r="F29" s="51"/>
      <c r="G29" s="52"/>
      <c r="H29" s="53"/>
      <c r="I29" s="54"/>
      <c r="J29" s="104"/>
    </row>
    <row r="30" spans="1:10" ht="24.5" customHeight="1" x14ac:dyDescent="0.3">
      <c r="A30" s="55"/>
      <c r="B30" s="56"/>
      <c r="C30" s="57"/>
      <c r="D30" s="57"/>
      <c r="E30" s="57"/>
      <c r="F30" s="58"/>
      <c r="G30" s="59"/>
      <c r="H30" s="17"/>
      <c r="I30" s="60"/>
      <c r="J30" s="105"/>
    </row>
    <row r="31" spans="1:10" ht="13.5" customHeight="1" x14ac:dyDescent="0.3">
      <c r="A31" s="106" t="s">
        <v>21</v>
      </c>
      <c r="B31" s="107"/>
      <c r="C31" s="107"/>
      <c r="D31" s="107"/>
      <c r="E31" s="107"/>
      <c r="F31" s="107"/>
      <c r="G31" s="108"/>
      <c r="H31" s="31" t="e">
        <f>SUM(H25:H30)</f>
        <v>#REF!</v>
      </c>
      <c r="I31" s="32" t="e">
        <f>SUM(I25:I30)</f>
        <v>#REF!</v>
      </c>
      <c r="J31" s="34"/>
    </row>
    <row r="34" spans="1:1" x14ac:dyDescent="0.3">
      <c r="A34" s="36" t="s">
        <v>6</v>
      </c>
    </row>
    <row r="35" spans="1:1" x14ac:dyDescent="0.3">
      <c r="A35" s="36" t="s">
        <v>7</v>
      </c>
    </row>
    <row r="39" spans="1:1" x14ac:dyDescent="0.3">
      <c r="A39" s="36" t="s">
        <v>40</v>
      </c>
    </row>
    <row r="40" spans="1:1" x14ac:dyDescent="0.3">
      <c r="A40" s="36" t="s">
        <v>41</v>
      </c>
    </row>
    <row r="43" spans="1:1" x14ac:dyDescent="0.3">
      <c r="A43" s="36" t="s">
        <v>8</v>
      </c>
    </row>
  </sheetData>
  <mergeCells count="14">
    <mergeCell ref="J23:J24"/>
    <mergeCell ref="J26:J30"/>
    <mergeCell ref="A31:G31"/>
    <mergeCell ref="A23:A24"/>
    <mergeCell ref="B23:C23"/>
    <mergeCell ref="D23:E23"/>
    <mergeCell ref="F23:G23"/>
    <mergeCell ref="H23:H24"/>
    <mergeCell ref="I23:I24"/>
    <mergeCell ref="A17:J19"/>
    <mergeCell ref="A3:J3"/>
    <mergeCell ref="A4:J4"/>
    <mergeCell ref="A5:J5"/>
    <mergeCell ref="A6:J6"/>
  </mergeCells>
  <pageMargins left="0.7" right="0.14000000000000001" top="0.75" bottom="0.75" header="0.3" footer="0.3"/>
  <pageSetup paperSize="9" scale="8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72103-F5B2-452C-B0B6-762117934BCF}">
  <sheetPr>
    <tabColor theme="8"/>
  </sheetPr>
  <dimension ref="A2:J43"/>
  <sheetViews>
    <sheetView view="pageBreakPreview" topLeftCell="A16" zoomScale="115" zoomScaleNormal="100" zoomScaleSheetLayoutView="115" workbookViewId="0">
      <selection activeCell="J26" sqref="J26:J30"/>
    </sheetView>
  </sheetViews>
  <sheetFormatPr defaultColWidth="8.796875" defaultRowHeight="13" x14ac:dyDescent="0.3"/>
  <cols>
    <col min="1" max="1" width="4" style="36" customWidth="1"/>
    <col min="2" max="2" width="23.296875" style="36" customWidth="1"/>
    <col min="3" max="3" width="15.296875" style="36" customWidth="1"/>
    <col min="4" max="4" width="13.796875" style="36" customWidth="1"/>
    <col min="5" max="5" width="11.796875" style="36" customWidth="1"/>
    <col min="6" max="6" width="8.19921875" style="36" customWidth="1"/>
    <col min="7" max="7" width="11.296875" style="36" bestFit="1" customWidth="1"/>
    <col min="8" max="9" width="12" style="36" customWidth="1"/>
    <col min="10" max="10" width="18.796875" style="36" customWidth="1"/>
    <col min="11" max="16384" width="8.796875" style="36"/>
  </cols>
  <sheetData>
    <row r="2" spans="1:10" x14ac:dyDescent="0.3">
      <c r="J2" s="37" t="s">
        <v>24</v>
      </c>
    </row>
    <row r="3" spans="1:10" x14ac:dyDescent="0.3">
      <c r="A3" s="109" t="s">
        <v>0</v>
      </c>
      <c r="B3" s="109"/>
      <c r="C3" s="109"/>
      <c r="D3" s="109"/>
      <c r="E3" s="109"/>
      <c r="F3" s="109"/>
      <c r="G3" s="109"/>
      <c r="H3" s="109"/>
      <c r="I3" s="109"/>
      <c r="J3" s="109"/>
    </row>
    <row r="4" spans="1:10" x14ac:dyDescent="0.3">
      <c r="A4" s="109" t="s">
        <v>1</v>
      </c>
      <c r="B4" s="109"/>
      <c r="C4" s="109"/>
      <c r="D4" s="109"/>
      <c r="E4" s="109"/>
      <c r="F4" s="109"/>
      <c r="G4" s="109"/>
      <c r="H4" s="109"/>
      <c r="I4" s="109"/>
      <c r="J4" s="109"/>
    </row>
    <row r="5" spans="1:10" x14ac:dyDescent="0.3">
      <c r="A5" s="109" t="s">
        <v>2</v>
      </c>
      <c r="B5" s="109"/>
      <c r="C5" s="109"/>
      <c r="D5" s="109"/>
      <c r="E5" s="109"/>
      <c r="F5" s="109"/>
      <c r="G5" s="109"/>
      <c r="H5" s="109"/>
      <c r="I5" s="109"/>
      <c r="J5" s="109"/>
    </row>
    <row r="6" spans="1:10" x14ac:dyDescent="0.3">
      <c r="A6" s="109" t="s">
        <v>3</v>
      </c>
      <c r="B6" s="109"/>
      <c r="C6" s="109"/>
      <c r="D6" s="109"/>
      <c r="E6" s="109"/>
      <c r="F6" s="109"/>
      <c r="G6" s="109"/>
      <c r="H6" s="109"/>
      <c r="I6" s="109"/>
      <c r="J6" s="109"/>
    </row>
    <row r="9" spans="1:10" x14ac:dyDescent="0.3">
      <c r="A9" s="36" t="s">
        <v>12</v>
      </c>
      <c r="D9" s="36" t="s">
        <v>37</v>
      </c>
    </row>
    <row r="11" spans="1:10" x14ac:dyDescent="0.3">
      <c r="A11" s="36" t="s">
        <v>11</v>
      </c>
      <c r="D11" s="36" t="s">
        <v>38</v>
      </c>
    </row>
    <row r="13" spans="1:10" x14ac:dyDescent="0.3">
      <c r="A13" s="36" t="s">
        <v>10</v>
      </c>
      <c r="D13" s="36" t="s">
        <v>39</v>
      </c>
    </row>
    <row r="15" spans="1:10" x14ac:dyDescent="0.3">
      <c r="A15" s="36" t="s">
        <v>5</v>
      </c>
      <c r="C15" s="36" t="e">
        <f>'sample VDS_format'!#REF!</f>
        <v>#REF!</v>
      </c>
      <c r="I15" s="65" t="s">
        <v>43</v>
      </c>
      <c r="J15" s="67" t="e">
        <f>'sample VDS_format'!#REF!</f>
        <v>#REF!</v>
      </c>
    </row>
    <row r="17" spans="1:10" x14ac:dyDescent="0.3">
      <c r="A17" s="110" t="s">
        <v>4</v>
      </c>
      <c r="B17" s="110"/>
      <c r="C17" s="110"/>
      <c r="D17" s="110"/>
      <c r="E17" s="110"/>
      <c r="F17" s="110"/>
      <c r="G17" s="110"/>
      <c r="H17" s="110"/>
      <c r="I17" s="110"/>
      <c r="J17" s="110"/>
    </row>
    <row r="18" spans="1:10" x14ac:dyDescent="0.3">
      <c r="A18" s="110"/>
      <c r="B18" s="110"/>
      <c r="C18" s="110"/>
      <c r="D18" s="110"/>
      <c r="E18" s="110"/>
      <c r="F18" s="110"/>
      <c r="G18" s="110"/>
      <c r="H18" s="110"/>
      <c r="I18" s="110"/>
      <c r="J18" s="110"/>
    </row>
    <row r="19" spans="1:10" x14ac:dyDescent="0.3">
      <c r="A19" s="110"/>
      <c r="B19" s="110"/>
      <c r="C19" s="110"/>
      <c r="D19" s="110"/>
      <c r="E19" s="110"/>
      <c r="F19" s="110"/>
      <c r="G19" s="110"/>
      <c r="H19" s="110"/>
      <c r="I19" s="110"/>
      <c r="J19" s="110"/>
    </row>
    <row r="23" spans="1:10" ht="30.65" customHeight="1" x14ac:dyDescent="0.3">
      <c r="A23" s="102" t="s">
        <v>13</v>
      </c>
      <c r="B23" s="112" t="s">
        <v>14</v>
      </c>
      <c r="C23" s="113"/>
      <c r="D23" s="112" t="s">
        <v>15</v>
      </c>
      <c r="E23" s="113"/>
      <c r="F23" s="114" t="s">
        <v>22</v>
      </c>
      <c r="G23" s="115"/>
      <c r="H23" s="102" t="s">
        <v>9</v>
      </c>
      <c r="I23" s="100" t="s">
        <v>23</v>
      </c>
      <c r="J23" s="102" t="s">
        <v>16</v>
      </c>
    </row>
    <row r="24" spans="1:10" ht="16.399999999999999" customHeight="1" x14ac:dyDescent="0.3">
      <c r="A24" s="111"/>
      <c r="B24" s="38" t="s">
        <v>17</v>
      </c>
      <c r="C24" s="38" t="s">
        <v>18</v>
      </c>
      <c r="D24" s="38" t="s">
        <v>19</v>
      </c>
      <c r="E24" s="38" t="s">
        <v>20</v>
      </c>
      <c r="F24" s="38" t="s">
        <v>19</v>
      </c>
      <c r="G24" s="38" t="s">
        <v>20</v>
      </c>
      <c r="H24" s="101"/>
      <c r="I24" s="101"/>
      <c r="J24" s="103"/>
    </row>
    <row r="25" spans="1:10" ht="29" customHeight="1" x14ac:dyDescent="0.3">
      <c r="A25" s="62">
        <v>1</v>
      </c>
      <c r="B25" s="88" t="e">
        <f>'sample VDS_format'!#REF!</f>
        <v>#REF!</v>
      </c>
      <c r="C25" s="89" t="e">
        <f>'sample VDS_format'!#REF!</f>
        <v>#REF!</v>
      </c>
      <c r="D25" s="88" t="e">
        <f>'sample VDS_format'!#REF!</f>
        <v>#REF!</v>
      </c>
      <c r="E25" s="90" t="e">
        <f>'sample VDS_format'!#REF!</f>
        <v>#REF!</v>
      </c>
      <c r="F25" s="88" t="e">
        <f>'sample VDS_format'!#REF!</f>
        <v>#REF!</v>
      </c>
      <c r="G25" s="88" t="e">
        <f>'sample VDS_format'!#REF!</f>
        <v>#REF!</v>
      </c>
      <c r="H25" s="89" t="e">
        <f>'sample VDS_format'!#REF!</f>
        <v>#REF!</v>
      </c>
      <c r="I25" s="89" t="e">
        <f>'sample VDS_format'!#REF!</f>
        <v>#REF!</v>
      </c>
      <c r="J25" s="42" t="e">
        <f>SUM(I25:I26)</f>
        <v>#REF!</v>
      </c>
    </row>
    <row r="26" spans="1:10" ht="26" customHeight="1" x14ac:dyDescent="0.3">
      <c r="A26" s="86"/>
      <c r="B26" s="92"/>
      <c r="C26" s="89"/>
      <c r="D26" s="92"/>
      <c r="E26" s="93"/>
      <c r="F26" s="91"/>
      <c r="G26" s="91"/>
      <c r="H26" s="94"/>
      <c r="I26" s="94"/>
      <c r="J26" s="104" t="s">
        <v>51</v>
      </c>
    </row>
    <row r="27" spans="1:10" ht="26" customHeight="1" x14ac:dyDescent="0.3">
      <c r="A27" s="63"/>
      <c r="B27" s="46"/>
      <c r="C27" s="42"/>
      <c r="D27" s="46"/>
      <c r="E27" s="87"/>
      <c r="F27" s="42"/>
      <c r="G27" s="42"/>
      <c r="H27" s="42"/>
      <c r="I27" s="42"/>
      <c r="J27" s="104"/>
    </row>
    <row r="28" spans="1:10" ht="15.5" customHeight="1" x14ac:dyDescent="0.3">
      <c r="A28" s="48"/>
      <c r="B28" s="49"/>
      <c r="C28" s="50"/>
      <c r="D28" s="50"/>
      <c r="E28" s="50"/>
      <c r="F28" s="51"/>
      <c r="G28" s="52"/>
      <c r="H28" s="53"/>
      <c r="I28" s="54"/>
      <c r="J28" s="104"/>
    </row>
    <row r="29" spans="1:10" ht="15.5" customHeight="1" x14ac:dyDescent="0.3">
      <c r="A29" s="48"/>
      <c r="B29" s="49"/>
      <c r="C29" s="50"/>
      <c r="D29" s="50"/>
      <c r="E29" s="50"/>
      <c r="F29" s="51"/>
      <c r="G29" s="52"/>
      <c r="H29" s="53"/>
      <c r="I29" s="54"/>
      <c r="J29" s="104"/>
    </row>
    <row r="30" spans="1:10" ht="36" customHeight="1" x14ac:dyDescent="0.3">
      <c r="A30" s="55"/>
      <c r="B30" s="56"/>
      <c r="C30" s="57"/>
      <c r="D30" s="57"/>
      <c r="E30" s="57"/>
      <c r="F30" s="58"/>
      <c r="G30" s="59"/>
      <c r="H30" s="17"/>
      <c r="I30" s="60"/>
      <c r="J30" s="105"/>
    </row>
    <row r="31" spans="1:10" ht="13.5" customHeight="1" x14ac:dyDescent="0.3">
      <c r="A31" s="106" t="s">
        <v>21</v>
      </c>
      <c r="B31" s="107"/>
      <c r="C31" s="107"/>
      <c r="D31" s="107"/>
      <c r="E31" s="107"/>
      <c r="F31" s="107"/>
      <c r="G31" s="108"/>
      <c r="H31" s="31" t="e">
        <f>SUM(H25:H30)</f>
        <v>#REF!</v>
      </c>
      <c r="I31" s="32" t="e">
        <f>SUM(I25:I30)</f>
        <v>#REF!</v>
      </c>
      <c r="J31" s="34"/>
    </row>
    <row r="34" spans="1:1" x14ac:dyDescent="0.3">
      <c r="A34" s="36" t="s">
        <v>6</v>
      </c>
    </row>
    <row r="35" spans="1:1" x14ac:dyDescent="0.3">
      <c r="A35" s="36" t="s">
        <v>7</v>
      </c>
    </row>
    <row r="39" spans="1:1" x14ac:dyDescent="0.3">
      <c r="A39" s="36" t="s">
        <v>40</v>
      </c>
    </row>
    <row r="40" spans="1:1" x14ac:dyDescent="0.3">
      <c r="A40" s="36" t="s">
        <v>41</v>
      </c>
    </row>
    <row r="43" spans="1:1" x14ac:dyDescent="0.3">
      <c r="A43" s="36" t="s">
        <v>8</v>
      </c>
    </row>
  </sheetData>
  <mergeCells count="14">
    <mergeCell ref="I23:I24"/>
    <mergeCell ref="J23:J24"/>
    <mergeCell ref="J26:J30"/>
    <mergeCell ref="A31:G31"/>
    <mergeCell ref="A3:J3"/>
    <mergeCell ref="A4:J4"/>
    <mergeCell ref="A5:J5"/>
    <mergeCell ref="A6:J6"/>
    <mergeCell ref="A17:J19"/>
    <mergeCell ref="A23:A24"/>
    <mergeCell ref="B23:C23"/>
    <mergeCell ref="D23:E23"/>
    <mergeCell ref="F23:G23"/>
    <mergeCell ref="H23:H24"/>
  </mergeCells>
  <pageMargins left="0.7" right="0.14000000000000001" top="0.75" bottom="0.75" header="0.3" footer="0.3"/>
  <pageSetup paperSize="9" scale="8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F940F-1BDF-4B0F-AFD0-3EE2BCDEFB9A}">
  <sheetPr>
    <tabColor theme="8"/>
  </sheetPr>
  <dimension ref="A2:J43"/>
  <sheetViews>
    <sheetView view="pageBreakPreview" topLeftCell="E21" zoomScale="115" zoomScaleNormal="100" zoomScaleSheetLayoutView="115" workbookViewId="0">
      <selection activeCell="J31" sqref="J31"/>
    </sheetView>
  </sheetViews>
  <sheetFormatPr defaultColWidth="8.796875" defaultRowHeight="13" x14ac:dyDescent="0.3"/>
  <cols>
    <col min="1" max="1" width="4" style="36" customWidth="1"/>
    <col min="2" max="2" width="23.296875" style="36" customWidth="1"/>
    <col min="3" max="3" width="15.296875" style="36" customWidth="1"/>
    <col min="4" max="4" width="13.796875" style="36" customWidth="1"/>
    <col min="5" max="5" width="11.796875" style="36" customWidth="1"/>
    <col min="6" max="6" width="8.19921875" style="36" customWidth="1"/>
    <col min="7" max="7" width="11.296875" style="36" bestFit="1" customWidth="1"/>
    <col min="8" max="9" width="12" style="36" customWidth="1"/>
    <col min="10" max="10" width="18.796875" style="36" customWidth="1"/>
    <col min="11" max="16384" width="8.796875" style="36"/>
  </cols>
  <sheetData>
    <row r="2" spans="1:10" x14ac:dyDescent="0.3">
      <c r="J2" s="37" t="s">
        <v>24</v>
      </c>
    </row>
    <row r="3" spans="1:10" x14ac:dyDescent="0.3">
      <c r="A3" s="109" t="s">
        <v>0</v>
      </c>
      <c r="B3" s="109"/>
      <c r="C3" s="109"/>
      <c r="D3" s="109"/>
      <c r="E3" s="109"/>
      <c r="F3" s="109"/>
      <c r="G3" s="109"/>
      <c r="H3" s="109"/>
      <c r="I3" s="109"/>
      <c r="J3" s="109"/>
    </row>
    <row r="4" spans="1:10" x14ac:dyDescent="0.3">
      <c r="A4" s="109" t="s">
        <v>1</v>
      </c>
      <c r="B4" s="109"/>
      <c r="C4" s="109"/>
      <c r="D4" s="109"/>
      <c r="E4" s="109"/>
      <c r="F4" s="109"/>
      <c r="G4" s="109"/>
      <c r="H4" s="109"/>
      <c r="I4" s="109"/>
      <c r="J4" s="109"/>
    </row>
    <row r="5" spans="1:10" x14ac:dyDescent="0.3">
      <c r="A5" s="109" t="s">
        <v>2</v>
      </c>
      <c r="B5" s="109"/>
      <c r="C5" s="109"/>
      <c r="D5" s="109"/>
      <c r="E5" s="109"/>
      <c r="F5" s="109"/>
      <c r="G5" s="109"/>
      <c r="H5" s="109"/>
      <c r="I5" s="109"/>
      <c r="J5" s="109"/>
    </row>
    <row r="6" spans="1:10" x14ac:dyDescent="0.3">
      <c r="A6" s="109" t="s">
        <v>3</v>
      </c>
      <c r="B6" s="109"/>
      <c r="C6" s="109"/>
      <c r="D6" s="109"/>
      <c r="E6" s="109"/>
      <c r="F6" s="109"/>
      <c r="G6" s="109"/>
      <c r="H6" s="109"/>
      <c r="I6" s="109"/>
      <c r="J6" s="109"/>
    </row>
    <row r="9" spans="1:10" x14ac:dyDescent="0.3">
      <c r="A9" s="36" t="s">
        <v>12</v>
      </c>
      <c r="D9" s="36" t="s">
        <v>37</v>
      </c>
    </row>
    <row r="11" spans="1:10" x14ac:dyDescent="0.3">
      <c r="A11" s="36" t="s">
        <v>11</v>
      </c>
      <c r="D11" s="36" t="s">
        <v>38</v>
      </c>
    </row>
    <row r="13" spans="1:10" x14ac:dyDescent="0.3">
      <c r="A13" s="36" t="s">
        <v>10</v>
      </c>
      <c r="D13" s="36" t="s">
        <v>39</v>
      </c>
    </row>
    <row r="15" spans="1:10" x14ac:dyDescent="0.3">
      <c r="A15" s="36" t="s">
        <v>5</v>
      </c>
      <c r="C15" s="36" t="e">
        <f>'sample VDS_format'!#REF!</f>
        <v>#REF!</v>
      </c>
      <c r="I15" s="65" t="s">
        <v>43</v>
      </c>
      <c r="J15" s="67" t="e">
        <f>'sample VDS_format'!#REF!</f>
        <v>#REF!</v>
      </c>
    </row>
    <row r="17" spans="1:10" x14ac:dyDescent="0.3">
      <c r="A17" s="110" t="s">
        <v>4</v>
      </c>
      <c r="B17" s="110"/>
      <c r="C17" s="110"/>
      <c r="D17" s="110"/>
      <c r="E17" s="110"/>
      <c r="F17" s="110"/>
      <c r="G17" s="110"/>
      <c r="H17" s="110"/>
      <c r="I17" s="110"/>
      <c r="J17" s="110"/>
    </row>
    <row r="18" spans="1:10" x14ac:dyDescent="0.3">
      <c r="A18" s="110"/>
      <c r="B18" s="110"/>
      <c r="C18" s="110"/>
      <c r="D18" s="110"/>
      <c r="E18" s="110"/>
      <c r="F18" s="110"/>
      <c r="G18" s="110"/>
      <c r="H18" s="110"/>
      <c r="I18" s="110"/>
      <c r="J18" s="110"/>
    </row>
    <row r="19" spans="1:10" x14ac:dyDescent="0.3">
      <c r="A19" s="110"/>
      <c r="B19" s="110"/>
      <c r="C19" s="110"/>
      <c r="D19" s="110"/>
      <c r="E19" s="110"/>
      <c r="F19" s="110"/>
      <c r="G19" s="110"/>
      <c r="H19" s="110"/>
      <c r="I19" s="110"/>
      <c r="J19" s="110"/>
    </row>
    <row r="23" spans="1:10" ht="30.65" customHeight="1" x14ac:dyDescent="0.3">
      <c r="A23" s="102" t="s">
        <v>13</v>
      </c>
      <c r="B23" s="112" t="s">
        <v>14</v>
      </c>
      <c r="C23" s="113"/>
      <c r="D23" s="112" t="s">
        <v>15</v>
      </c>
      <c r="E23" s="113"/>
      <c r="F23" s="114" t="s">
        <v>22</v>
      </c>
      <c r="G23" s="115"/>
      <c r="H23" s="102" t="s">
        <v>9</v>
      </c>
      <c r="I23" s="100" t="s">
        <v>23</v>
      </c>
      <c r="J23" s="102" t="s">
        <v>16</v>
      </c>
    </row>
    <row r="24" spans="1:10" ht="16.399999999999999" customHeight="1" x14ac:dyDescent="0.3">
      <c r="A24" s="111"/>
      <c r="B24" s="38" t="s">
        <v>17</v>
      </c>
      <c r="C24" s="38" t="s">
        <v>18</v>
      </c>
      <c r="D24" s="38" t="s">
        <v>19</v>
      </c>
      <c r="E24" s="38" t="s">
        <v>20</v>
      </c>
      <c r="F24" s="38" t="s">
        <v>19</v>
      </c>
      <c r="G24" s="38" t="s">
        <v>20</v>
      </c>
      <c r="H24" s="101"/>
      <c r="I24" s="101"/>
      <c r="J24" s="103"/>
    </row>
    <row r="25" spans="1:10" ht="29" customHeight="1" x14ac:dyDescent="0.3">
      <c r="A25" s="62">
        <v>1</v>
      </c>
      <c r="B25" s="88" t="e">
        <f>'sample VDS_format'!#REF!</f>
        <v>#REF!</v>
      </c>
      <c r="C25" s="89" t="e">
        <f>'sample VDS_format'!#REF!</f>
        <v>#REF!</v>
      </c>
      <c r="D25" s="88" t="e">
        <f>'sample VDS_format'!#REF!</f>
        <v>#REF!</v>
      </c>
      <c r="E25" s="90" t="e">
        <f>'sample VDS_format'!#REF!</f>
        <v>#REF!</v>
      </c>
      <c r="F25" s="97" t="e">
        <f>'sample VDS_format'!#REF!</f>
        <v>#REF!</v>
      </c>
      <c r="G25" s="97" t="e">
        <f>'sample VDS_format'!#REF!</f>
        <v>#REF!</v>
      </c>
      <c r="H25" s="97" t="e">
        <f>'sample VDS_format'!#REF!</f>
        <v>#REF!</v>
      </c>
      <c r="I25" s="97" t="e">
        <f>'sample VDS_format'!#REF!</f>
        <v>#REF!</v>
      </c>
      <c r="J25" s="42" t="e">
        <f>SUM(I25:I26)</f>
        <v>#REF!</v>
      </c>
    </row>
    <row r="26" spans="1:10" ht="26" customHeight="1" x14ac:dyDescent="0.3">
      <c r="A26" s="86"/>
      <c r="B26" s="92"/>
      <c r="C26" s="89"/>
      <c r="D26" s="92"/>
      <c r="E26" s="93"/>
      <c r="F26" s="91"/>
      <c r="G26" s="91"/>
      <c r="H26" s="94"/>
      <c r="I26" s="94"/>
      <c r="J26" s="104" t="s">
        <v>50</v>
      </c>
    </row>
    <row r="27" spans="1:10" ht="26" customHeight="1" x14ac:dyDescent="0.3">
      <c r="A27" s="63"/>
      <c r="B27" s="46"/>
      <c r="C27" s="42"/>
      <c r="D27" s="46"/>
      <c r="E27" s="87"/>
      <c r="F27" s="42"/>
      <c r="G27" s="42"/>
      <c r="H27" s="42"/>
      <c r="I27" s="42"/>
      <c r="J27" s="104"/>
    </row>
    <row r="28" spans="1:10" ht="15.5" customHeight="1" x14ac:dyDescent="0.3">
      <c r="A28" s="48"/>
      <c r="B28" s="49"/>
      <c r="C28" s="50"/>
      <c r="D28" s="50"/>
      <c r="E28" s="50"/>
      <c r="F28" s="51"/>
      <c r="G28" s="52"/>
      <c r="H28" s="53"/>
      <c r="I28" s="54"/>
      <c r="J28" s="104"/>
    </row>
    <row r="29" spans="1:10" ht="15.5" customHeight="1" x14ac:dyDescent="0.3">
      <c r="A29" s="48"/>
      <c r="B29" s="49"/>
      <c r="C29" s="50"/>
      <c r="D29" s="50"/>
      <c r="E29" s="50"/>
      <c r="F29" s="51"/>
      <c r="G29" s="52"/>
      <c r="H29" s="53"/>
      <c r="I29" s="54"/>
      <c r="J29" s="104"/>
    </row>
    <row r="30" spans="1:10" ht="36" customHeight="1" x14ac:dyDescent="0.3">
      <c r="A30" s="55"/>
      <c r="B30" s="56"/>
      <c r="C30" s="57"/>
      <c r="D30" s="57"/>
      <c r="E30" s="57"/>
      <c r="F30" s="58"/>
      <c r="G30" s="59"/>
      <c r="H30" s="17"/>
      <c r="I30" s="60"/>
      <c r="J30" s="105"/>
    </row>
    <row r="31" spans="1:10" ht="13.5" customHeight="1" x14ac:dyDescent="0.3">
      <c r="A31" s="106" t="s">
        <v>21</v>
      </c>
      <c r="B31" s="107"/>
      <c r="C31" s="107"/>
      <c r="D31" s="107"/>
      <c r="E31" s="107"/>
      <c r="F31" s="107"/>
      <c r="G31" s="108"/>
      <c r="H31" s="31" t="e">
        <f>SUM(H25:H30)</f>
        <v>#REF!</v>
      </c>
      <c r="I31" s="32" t="e">
        <f>SUM(I25:I30)</f>
        <v>#REF!</v>
      </c>
      <c r="J31" s="34"/>
    </row>
    <row r="34" spans="1:1" x14ac:dyDescent="0.3">
      <c r="A34" s="36" t="s">
        <v>6</v>
      </c>
    </row>
    <row r="35" spans="1:1" x14ac:dyDescent="0.3">
      <c r="A35" s="36" t="s">
        <v>7</v>
      </c>
    </row>
    <row r="39" spans="1:1" x14ac:dyDescent="0.3">
      <c r="A39" s="36" t="s">
        <v>40</v>
      </c>
    </row>
    <row r="40" spans="1:1" x14ac:dyDescent="0.3">
      <c r="A40" s="36" t="s">
        <v>41</v>
      </c>
    </row>
    <row r="43" spans="1:1" x14ac:dyDescent="0.3">
      <c r="A43" s="36" t="s">
        <v>8</v>
      </c>
    </row>
  </sheetData>
  <mergeCells count="14">
    <mergeCell ref="I23:I24"/>
    <mergeCell ref="J23:J24"/>
    <mergeCell ref="J26:J30"/>
    <mergeCell ref="A31:G31"/>
    <mergeCell ref="A3:J3"/>
    <mergeCell ref="A4:J4"/>
    <mergeCell ref="A5:J5"/>
    <mergeCell ref="A6:J6"/>
    <mergeCell ref="A17:J19"/>
    <mergeCell ref="A23:A24"/>
    <mergeCell ref="B23:C23"/>
    <mergeCell ref="D23:E23"/>
    <mergeCell ref="F23:G23"/>
    <mergeCell ref="H23:H24"/>
  </mergeCells>
  <pageMargins left="0.7" right="0.14000000000000001" top="0.75" bottom="0.75" header="0.3" footer="0.3"/>
  <pageSetup paperSize="9" scale="80"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8"/>
  </sheetPr>
  <dimension ref="A2:J43"/>
  <sheetViews>
    <sheetView showGridLines="0" view="pageBreakPreview" zoomScale="70" zoomScaleNormal="100" zoomScaleSheetLayoutView="70" workbookViewId="0">
      <selection activeCell="C15" sqref="C15"/>
    </sheetView>
  </sheetViews>
  <sheetFormatPr defaultColWidth="8.796875" defaultRowHeight="13" x14ac:dyDescent="0.3"/>
  <cols>
    <col min="1" max="1" width="4" style="1" customWidth="1"/>
    <col min="2" max="2" width="23.296875" style="1" customWidth="1"/>
    <col min="3" max="3" width="15.296875" style="1" customWidth="1"/>
    <col min="4" max="4" width="13.296875" style="1" customWidth="1"/>
    <col min="5" max="5" width="11.796875" style="1" customWidth="1"/>
    <col min="6" max="6" width="8.19921875" style="1" customWidth="1"/>
    <col min="7" max="7" width="10" style="1" customWidth="1"/>
    <col min="8" max="9" width="12" style="1" customWidth="1"/>
    <col min="10" max="10" width="18.796875" style="1" customWidth="1"/>
    <col min="11" max="16384" width="8.796875" style="1"/>
  </cols>
  <sheetData>
    <row r="2" spans="1:10" x14ac:dyDescent="0.3">
      <c r="J2" s="22" t="s">
        <v>24</v>
      </c>
    </row>
    <row r="3" spans="1:10" x14ac:dyDescent="0.3">
      <c r="A3" s="120" t="s">
        <v>0</v>
      </c>
      <c r="B3" s="120"/>
      <c r="C3" s="120"/>
      <c r="D3" s="120"/>
      <c r="E3" s="120"/>
      <c r="F3" s="120"/>
      <c r="G3" s="120"/>
      <c r="H3" s="120"/>
      <c r="I3" s="120"/>
      <c r="J3" s="120"/>
    </row>
    <row r="4" spans="1:10" x14ac:dyDescent="0.3">
      <c r="A4" s="120" t="s">
        <v>1</v>
      </c>
      <c r="B4" s="120"/>
      <c r="C4" s="120"/>
      <c r="D4" s="120"/>
      <c r="E4" s="120"/>
      <c r="F4" s="120"/>
      <c r="G4" s="120"/>
      <c r="H4" s="120"/>
      <c r="I4" s="120"/>
      <c r="J4" s="120"/>
    </row>
    <row r="5" spans="1:10" x14ac:dyDescent="0.3">
      <c r="A5" s="120" t="s">
        <v>2</v>
      </c>
      <c r="B5" s="120"/>
      <c r="C5" s="120"/>
      <c r="D5" s="120"/>
      <c r="E5" s="120"/>
      <c r="F5" s="120"/>
      <c r="G5" s="120"/>
      <c r="H5" s="120"/>
      <c r="I5" s="120"/>
      <c r="J5" s="120"/>
    </row>
    <row r="6" spans="1:10" x14ac:dyDescent="0.3">
      <c r="A6" s="120" t="s">
        <v>3</v>
      </c>
      <c r="B6" s="120"/>
      <c r="C6" s="120"/>
      <c r="D6" s="120"/>
      <c r="E6" s="120"/>
      <c r="F6" s="120"/>
      <c r="G6" s="120"/>
      <c r="H6" s="120"/>
      <c r="I6" s="120"/>
      <c r="J6" s="120"/>
    </row>
    <row r="9" spans="1:10" x14ac:dyDescent="0.3">
      <c r="A9" s="1" t="s">
        <v>12</v>
      </c>
      <c r="D9" s="1" t="s">
        <v>37</v>
      </c>
    </row>
    <row r="11" spans="1:10" x14ac:dyDescent="0.3">
      <c r="A11" s="1" t="s">
        <v>11</v>
      </c>
      <c r="D11" s="1" t="s">
        <v>38</v>
      </c>
    </row>
    <row r="13" spans="1:10" x14ac:dyDescent="0.3">
      <c r="A13" s="1" t="s">
        <v>10</v>
      </c>
      <c r="D13" s="1" t="s">
        <v>39</v>
      </c>
    </row>
    <row r="15" spans="1:10" x14ac:dyDescent="0.3">
      <c r="A15" s="1" t="s">
        <v>5</v>
      </c>
      <c r="C15" s="1" t="e">
        <f>'sample VDS_format'!#REF!</f>
        <v>#REF!</v>
      </c>
      <c r="I15" s="64" t="s">
        <v>43</v>
      </c>
      <c r="J15" s="66" t="e">
        <f>'sample VDS_format'!#REF!</f>
        <v>#REF!</v>
      </c>
    </row>
    <row r="17" spans="1:10" x14ac:dyDescent="0.3">
      <c r="A17" s="119" t="s">
        <v>4</v>
      </c>
      <c r="B17" s="119"/>
      <c r="C17" s="119"/>
      <c r="D17" s="119"/>
      <c r="E17" s="119"/>
      <c r="F17" s="119"/>
      <c r="G17" s="119"/>
      <c r="H17" s="119"/>
      <c r="I17" s="119"/>
      <c r="J17" s="119"/>
    </row>
    <row r="18" spans="1:10" x14ac:dyDescent="0.3">
      <c r="A18" s="119"/>
      <c r="B18" s="119"/>
      <c r="C18" s="119"/>
      <c r="D18" s="119"/>
      <c r="E18" s="119"/>
      <c r="F18" s="119"/>
      <c r="G18" s="119"/>
      <c r="H18" s="119"/>
      <c r="I18" s="119"/>
      <c r="J18" s="119"/>
    </row>
    <row r="19" spans="1:10" x14ac:dyDescent="0.3">
      <c r="A19" s="119"/>
      <c r="B19" s="119"/>
      <c r="C19" s="119"/>
      <c r="D19" s="119"/>
      <c r="E19" s="119"/>
      <c r="F19" s="119"/>
      <c r="G19" s="119"/>
      <c r="H19" s="119"/>
      <c r="I19" s="119"/>
      <c r="J19" s="119"/>
    </row>
    <row r="23" spans="1:10" ht="30.65" customHeight="1" x14ac:dyDescent="0.3">
      <c r="A23" s="123" t="s">
        <v>13</v>
      </c>
      <c r="B23" s="126" t="s">
        <v>14</v>
      </c>
      <c r="C23" s="127"/>
      <c r="D23" s="126" t="s">
        <v>15</v>
      </c>
      <c r="E23" s="127"/>
      <c r="F23" s="128" t="s">
        <v>22</v>
      </c>
      <c r="G23" s="129"/>
      <c r="H23" s="123" t="s">
        <v>9</v>
      </c>
      <c r="I23" s="131" t="s">
        <v>23</v>
      </c>
      <c r="J23" s="123" t="s">
        <v>16</v>
      </c>
    </row>
    <row r="24" spans="1:10" ht="16.399999999999999" customHeight="1" x14ac:dyDescent="0.3">
      <c r="A24" s="125"/>
      <c r="B24" s="3" t="s">
        <v>17</v>
      </c>
      <c r="C24" s="3" t="s">
        <v>18</v>
      </c>
      <c r="D24" s="3" t="s">
        <v>19</v>
      </c>
      <c r="E24" s="3" t="s">
        <v>20</v>
      </c>
      <c r="F24" s="3" t="s">
        <v>19</v>
      </c>
      <c r="G24" s="3" t="s">
        <v>20</v>
      </c>
      <c r="H24" s="130"/>
      <c r="I24" s="130"/>
      <c r="J24" s="124"/>
    </row>
    <row r="25" spans="1:10" ht="25" customHeight="1" x14ac:dyDescent="0.3">
      <c r="A25" s="20">
        <v>1</v>
      </c>
      <c r="B25" s="21" t="e">
        <f>'sample VDS_format'!#REF!</f>
        <v>#REF!</v>
      </c>
      <c r="C25" s="29" t="e">
        <f>'sample VDS_format'!#REF!</f>
        <v>#REF!</v>
      </c>
      <c r="D25" s="21" t="e">
        <f>'sample VDS_format'!#REF!</f>
        <v>#REF!</v>
      </c>
      <c r="E25" s="30" t="e">
        <f>'sample VDS_format'!#REF!</f>
        <v>#REF!</v>
      </c>
      <c r="F25" s="29" t="e">
        <f>'sample VDS_format'!#REF!</f>
        <v>#REF!</v>
      </c>
      <c r="G25" s="29" t="e">
        <f>'sample VDS_format'!#REF!</f>
        <v>#REF!</v>
      </c>
      <c r="H25" s="29" t="e">
        <f>'sample VDS_format'!#REF!</f>
        <v>#REF!</v>
      </c>
      <c r="I25" s="29" t="e">
        <f>'sample VDS_format'!#REF!</f>
        <v>#REF!</v>
      </c>
      <c r="J25" s="42" t="e">
        <f>I31</f>
        <v>#REF!</v>
      </c>
    </row>
    <row r="26" spans="1:10" ht="26" customHeight="1" x14ac:dyDescent="0.3">
      <c r="A26" s="19">
        <v>2</v>
      </c>
      <c r="B26" s="21"/>
      <c r="C26" s="29"/>
      <c r="D26" s="21"/>
      <c r="E26" s="30"/>
      <c r="F26" s="29"/>
      <c r="G26" s="29"/>
      <c r="H26" s="29"/>
      <c r="I26" s="29"/>
      <c r="J26" s="121" t="s">
        <v>46</v>
      </c>
    </row>
    <row r="27" spans="1:10" ht="25.5" customHeight="1" x14ac:dyDescent="0.3">
      <c r="A27" s="4">
        <v>3</v>
      </c>
      <c r="B27" s="25"/>
      <c r="C27" s="25"/>
      <c r="D27" s="25"/>
      <c r="E27" s="26"/>
      <c r="F27" s="25"/>
      <c r="G27" s="25"/>
      <c r="H27" s="27"/>
      <c r="I27" s="27"/>
      <c r="J27" s="121"/>
    </row>
    <row r="28" spans="1:10" ht="15.5" customHeight="1" x14ac:dyDescent="0.3">
      <c r="A28" s="10"/>
      <c r="B28" s="6"/>
      <c r="C28" s="7"/>
      <c r="D28" s="7"/>
      <c r="E28" s="7"/>
      <c r="F28" s="5"/>
      <c r="G28" s="8"/>
      <c r="H28" s="9"/>
      <c r="I28" s="11"/>
      <c r="J28" s="121"/>
    </row>
    <row r="29" spans="1:10" ht="15.5" customHeight="1" x14ac:dyDescent="0.3">
      <c r="A29" s="10"/>
      <c r="B29" s="6"/>
      <c r="C29" s="7"/>
      <c r="D29" s="7"/>
      <c r="E29" s="7"/>
      <c r="F29" s="5"/>
      <c r="G29" s="8"/>
      <c r="H29" s="9"/>
      <c r="I29" s="11"/>
      <c r="J29" s="121"/>
    </row>
    <row r="30" spans="1:10" ht="24.5" customHeight="1" x14ac:dyDescent="0.3">
      <c r="A30" s="12"/>
      <c r="B30" s="13"/>
      <c r="C30" s="14"/>
      <c r="D30" s="14"/>
      <c r="E30" s="14"/>
      <c r="F30" s="15"/>
      <c r="G30" s="16"/>
      <c r="H30" s="17"/>
      <c r="I30" s="18"/>
      <c r="J30" s="122"/>
    </row>
    <row r="31" spans="1:10" ht="13.5" customHeight="1" x14ac:dyDescent="0.3">
      <c r="A31" s="106" t="s">
        <v>21</v>
      </c>
      <c r="B31" s="107"/>
      <c r="C31" s="107"/>
      <c r="D31" s="107"/>
      <c r="E31" s="107"/>
      <c r="F31" s="107"/>
      <c r="G31" s="108"/>
      <c r="H31" s="31" t="e">
        <f>SUM(H25:H30)</f>
        <v>#REF!</v>
      </c>
      <c r="I31" s="32" t="e">
        <f>SUM(I25:I30)</f>
        <v>#REF!</v>
      </c>
      <c r="J31" s="2"/>
    </row>
    <row r="32" spans="1:10" ht="14.5" x14ac:dyDescent="0.3">
      <c r="I32" s="33"/>
    </row>
    <row r="34" spans="1:1" x14ac:dyDescent="0.3">
      <c r="A34" s="1" t="s">
        <v>6</v>
      </c>
    </row>
    <row r="35" spans="1:1" x14ac:dyDescent="0.3">
      <c r="A35" s="1" t="s">
        <v>7</v>
      </c>
    </row>
    <row r="39" spans="1:1" x14ac:dyDescent="0.3">
      <c r="A39" s="28" t="s">
        <v>40</v>
      </c>
    </row>
    <row r="40" spans="1:1" x14ac:dyDescent="0.3">
      <c r="A40" s="1" t="s">
        <v>41</v>
      </c>
    </row>
    <row r="43" spans="1:1" x14ac:dyDescent="0.3">
      <c r="A43" s="1" t="s">
        <v>8</v>
      </c>
    </row>
  </sheetData>
  <mergeCells count="14">
    <mergeCell ref="J26:J30"/>
    <mergeCell ref="A31:G31"/>
    <mergeCell ref="J23:J24"/>
    <mergeCell ref="A23:A24"/>
    <mergeCell ref="B23:C23"/>
    <mergeCell ref="D23:E23"/>
    <mergeCell ref="F23:G23"/>
    <mergeCell ref="H23:H24"/>
    <mergeCell ref="I23:I24"/>
    <mergeCell ref="A17:J19"/>
    <mergeCell ref="A3:J3"/>
    <mergeCell ref="A4:J4"/>
    <mergeCell ref="A5:J5"/>
    <mergeCell ref="A6:J6"/>
  </mergeCells>
  <pageMargins left="0.7" right="0.21" top="0.75" bottom="0.75" header="0.3" footer="0.3"/>
  <pageSetup paperSize="9" scale="80"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C76CBF-A73F-403A-AAB2-4C7EFD5ACA30}">
  <sheetPr>
    <tabColor theme="8"/>
  </sheetPr>
  <dimension ref="A2:J43"/>
  <sheetViews>
    <sheetView view="pageBreakPreview" topLeftCell="A6" zoomScale="115" zoomScaleNormal="100" zoomScaleSheetLayoutView="115" workbookViewId="0">
      <selection activeCell="D15" sqref="D15"/>
    </sheetView>
  </sheetViews>
  <sheetFormatPr defaultColWidth="8.796875" defaultRowHeight="13" x14ac:dyDescent="0.3"/>
  <cols>
    <col min="1" max="1" width="4" style="36" customWidth="1"/>
    <col min="2" max="2" width="23.296875" style="36" customWidth="1"/>
    <col min="3" max="3" width="15.296875" style="36" customWidth="1"/>
    <col min="4" max="4" width="13.796875" style="36" customWidth="1"/>
    <col min="5" max="5" width="11.796875" style="36" customWidth="1"/>
    <col min="6" max="6" width="8.19921875" style="36" customWidth="1"/>
    <col min="7" max="7" width="11.296875" style="36" bestFit="1" customWidth="1"/>
    <col min="8" max="9" width="12" style="36" customWidth="1"/>
    <col min="10" max="10" width="18.796875" style="36" customWidth="1"/>
    <col min="11" max="16384" width="8.796875" style="36"/>
  </cols>
  <sheetData>
    <row r="2" spans="1:10" x14ac:dyDescent="0.3">
      <c r="J2" s="37" t="s">
        <v>24</v>
      </c>
    </row>
    <row r="3" spans="1:10" x14ac:dyDescent="0.3">
      <c r="A3" s="109" t="s">
        <v>0</v>
      </c>
      <c r="B3" s="109"/>
      <c r="C3" s="109"/>
      <c r="D3" s="109"/>
      <c r="E3" s="109"/>
      <c r="F3" s="109"/>
      <c r="G3" s="109"/>
      <c r="H3" s="109"/>
      <c r="I3" s="109"/>
      <c r="J3" s="109"/>
    </row>
    <row r="4" spans="1:10" x14ac:dyDescent="0.3">
      <c r="A4" s="109" t="s">
        <v>1</v>
      </c>
      <c r="B4" s="109"/>
      <c r="C4" s="109"/>
      <c r="D4" s="109"/>
      <c r="E4" s="109"/>
      <c r="F4" s="109"/>
      <c r="G4" s="109"/>
      <c r="H4" s="109"/>
      <c r="I4" s="109"/>
      <c r="J4" s="109"/>
    </row>
    <row r="5" spans="1:10" x14ac:dyDescent="0.3">
      <c r="A5" s="109" t="s">
        <v>2</v>
      </c>
      <c r="B5" s="109"/>
      <c r="C5" s="109"/>
      <c r="D5" s="109"/>
      <c r="E5" s="109"/>
      <c r="F5" s="109"/>
      <c r="G5" s="109"/>
      <c r="H5" s="109"/>
      <c r="I5" s="109"/>
      <c r="J5" s="109"/>
    </row>
    <row r="6" spans="1:10" x14ac:dyDescent="0.3">
      <c r="A6" s="109" t="s">
        <v>3</v>
      </c>
      <c r="B6" s="109"/>
      <c r="C6" s="109"/>
      <c r="D6" s="109"/>
      <c r="E6" s="109"/>
      <c r="F6" s="109"/>
      <c r="G6" s="109"/>
      <c r="H6" s="109"/>
      <c r="I6" s="109"/>
      <c r="J6" s="109"/>
    </row>
    <row r="9" spans="1:10" x14ac:dyDescent="0.3">
      <c r="A9" s="36" t="s">
        <v>12</v>
      </c>
      <c r="D9" s="36" t="s">
        <v>37</v>
      </c>
    </row>
    <row r="11" spans="1:10" x14ac:dyDescent="0.3">
      <c r="A11" s="36" t="s">
        <v>11</v>
      </c>
      <c r="D11" s="36" t="s">
        <v>38</v>
      </c>
    </row>
    <row r="13" spans="1:10" x14ac:dyDescent="0.3">
      <c r="A13" s="36" t="s">
        <v>10</v>
      </c>
      <c r="D13" s="36" t="s">
        <v>39</v>
      </c>
    </row>
    <row r="15" spans="1:10" x14ac:dyDescent="0.3">
      <c r="A15" s="36" t="s">
        <v>5</v>
      </c>
      <c r="C15" s="36" t="e">
        <f>'sample VDS_format'!#REF!</f>
        <v>#REF!</v>
      </c>
      <c r="I15" s="65" t="s">
        <v>43</v>
      </c>
      <c r="J15" s="67" t="e">
        <f>'sample VDS_format'!#REF!</f>
        <v>#REF!</v>
      </c>
    </row>
    <row r="17" spans="1:10" x14ac:dyDescent="0.3">
      <c r="A17" s="110" t="s">
        <v>4</v>
      </c>
      <c r="B17" s="110"/>
      <c r="C17" s="110"/>
      <c r="D17" s="110"/>
      <c r="E17" s="110"/>
      <c r="F17" s="110"/>
      <c r="G17" s="110"/>
      <c r="H17" s="110"/>
      <c r="I17" s="110"/>
      <c r="J17" s="110"/>
    </row>
    <row r="18" spans="1:10" x14ac:dyDescent="0.3">
      <c r="A18" s="110"/>
      <c r="B18" s="110"/>
      <c r="C18" s="110"/>
      <c r="D18" s="110"/>
      <c r="E18" s="110"/>
      <c r="F18" s="110"/>
      <c r="G18" s="110"/>
      <c r="H18" s="110"/>
      <c r="I18" s="110"/>
      <c r="J18" s="110"/>
    </row>
    <row r="19" spans="1:10" x14ac:dyDescent="0.3">
      <c r="A19" s="110"/>
      <c r="B19" s="110"/>
      <c r="C19" s="110"/>
      <c r="D19" s="110"/>
      <c r="E19" s="110"/>
      <c r="F19" s="110"/>
      <c r="G19" s="110"/>
      <c r="H19" s="110"/>
      <c r="I19" s="110"/>
      <c r="J19" s="110"/>
    </row>
    <row r="23" spans="1:10" ht="30.65" customHeight="1" x14ac:dyDescent="0.3">
      <c r="A23" s="102" t="s">
        <v>13</v>
      </c>
      <c r="B23" s="112" t="s">
        <v>14</v>
      </c>
      <c r="C23" s="113"/>
      <c r="D23" s="112" t="s">
        <v>15</v>
      </c>
      <c r="E23" s="113"/>
      <c r="F23" s="114" t="s">
        <v>22</v>
      </c>
      <c r="G23" s="115"/>
      <c r="H23" s="102" t="s">
        <v>9</v>
      </c>
      <c r="I23" s="100" t="s">
        <v>23</v>
      </c>
      <c r="J23" s="102" t="s">
        <v>16</v>
      </c>
    </row>
    <row r="24" spans="1:10" ht="16.399999999999999" customHeight="1" x14ac:dyDescent="0.3">
      <c r="A24" s="111"/>
      <c r="B24" s="38" t="s">
        <v>17</v>
      </c>
      <c r="C24" s="38" t="s">
        <v>18</v>
      </c>
      <c r="D24" s="38" t="s">
        <v>19</v>
      </c>
      <c r="E24" s="38" t="s">
        <v>20</v>
      </c>
      <c r="F24" s="38" t="s">
        <v>19</v>
      </c>
      <c r="G24" s="38" t="s">
        <v>20</v>
      </c>
      <c r="H24" s="101"/>
      <c r="I24" s="101"/>
      <c r="J24" s="103"/>
    </row>
    <row r="25" spans="1:10" ht="29" customHeight="1" x14ac:dyDescent="0.3">
      <c r="A25" s="62">
        <v>1</v>
      </c>
      <c r="B25" s="88" t="e">
        <f>'sample VDS_format'!#REF!</f>
        <v>#REF!</v>
      </c>
      <c r="C25" s="89" t="e">
        <f>'sample VDS_format'!#REF!</f>
        <v>#REF!</v>
      </c>
      <c r="D25" s="88" t="e">
        <f>'sample VDS_format'!#REF!</f>
        <v>#REF!</v>
      </c>
      <c r="E25" s="90" t="e">
        <f>'sample VDS_format'!#REF!</f>
        <v>#REF!</v>
      </c>
      <c r="F25" s="88"/>
      <c r="G25" s="91"/>
      <c r="H25" s="89" t="e">
        <f>'sample VDS_format'!#REF!</f>
        <v>#REF!</v>
      </c>
      <c r="I25" s="89" t="e">
        <f>'sample VDS_format'!#REF!</f>
        <v>#REF!</v>
      </c>
      <c r="J25" s="42" t="e">
        <f>SUM(I25:I26)</f>
        <v>#REF!</v>
      </c>
    </row>
    <row r="26" spans="1:10" ht="26" customHeight="1" x14ac:dyDescent="0.3">
      <c r="A26" s="86"/>
      <c r="B26" s="92"/>
      <c r="C26" s="89"/>
      <c r="D26" s="92"/>
      <c r="E26" s="93"/>
      <c r="F26" s="91"/>
      <c r="G26" s="91"/>
      <c r="H26" s="94"/>
      <c r="I26" s="94"/>
      <c r="J26" s="104" t="s">
        <v>47</v>
      </c>
    </row>
    <row r="27" spans="1:10" ht="26" customHeight="1" x14ac:dyDescent="0.3">
      <c r="A27" s="63"/>
      <c r="B27" s="46"/>
      <c r="C27" s="42"/>
      <c r="D27" s="46"/>
      <c r="E27" s="87"/>
      <c r="F27" s="42"/>
      <c r="G27" s="42"/>
      <c r="H27" s="42"/>
      <c r="I27" s="42"/>
      <c r="J27" s="104"/>
    </row>
    <row r="28" spans="1:10" ht="15.5" customHeight="1" x14ac:dyDescent="0.3">
      <c r="A28" s="48"/>
      <c r="B28" s="49"/>
      <c r="C28" s="50"/>
      <c r="D28" s="50"/>
      <c r="E28" s="50"/>
      <c r="F28" s="51"/>
      <c r="G28" s="52"/>
      <c r="H28" s="53"/>
      <c r="I28" s="54"/>
      <c r="J28" s="104"/>
    </row>
    <row r="29" spans="1:10" ht="15.5" customHeight="1" x14ac:dyDescent="0.3">
      <c r="A29" s="48"/>
      <c r="B29" s="49"/>
      <c r="C29" s="50"/>
      <c r="D29" s="50"/>
      <c r="E29" s="50"/>
      <c r="F29" s="51"/>
      <c r="G29" s="52"/>
      <c r="H29" s="53"/>
      <c r="I29" s="54"/>
      <c r="J29" s="104"/>
    </row>
    <row r="30" spans="1:10" ht="36" customHeight="1" x14ac:dyDescent="0.3">
      <c r="A30" s="55"/>
      <c r="B30" s="56"/>
      <c r="C30" s="57"/>
      <c r="D30" s="57"/>
      <c r="E30" s="57"/>
      <c r="F30" s="58"/>
      <c r="G30" s="59"/>
      <c r="H30" s="17"/>
      <c r="I30" s="60"/>
      <c r="J30" s="105"/>
    </row>
    <row r="31" spans="1:10" ht="13.5" customHeight="1" x14ac:dyDescent="0.3">
      <c r="A31" s="106" t="s">
        <v>21</v>
      </c>
      <c r="B31" s="107"/>
      <c r="C31" s="107"/>
      <c r="D31" s="107"/>
      <c r="E31" s="107"/>
      <c r="F31" s="107"/>
      <c r="G31" s="108"/>
      <c r="H31" s="31" t="e">
        <f>SUM(H25:H30)</f>
        <v>#REF!</v>
      </c>
      <c r="I31" s="32" t="e">
        <f>SUM(I25:I30)</f>
        <v>#REF!</v>
      </c>
      <c r="J31" s="34"/>
    </row>
    <row r="34" spans="1:1" x14ac:dyDescent="0.3">
      <c r="A34" s="36" t="s">
        <v>6</v>
      </c>
    </row>
    <row r="35" spans="1:1" x14ac:dyDescent="0.3">
      <c r="A35" s="36" t="s">
        <v>7</v>
      </c>
    </row>
    <row r="39" spans="1:1" x14ac:dyDescent="0.3">
      <c r="A39" s="36" t="s">
        <v>40</v>
      </c>
    </row>
    <row r="40" spans="1:1" x14ac:dyDescent="0.3">
      <c r="A40" s="36" t="s">
        <v>41</v>
      </c>
    </row>
    <row r="43" spans="1:1" x14ac:dyDescent="0.3">
      <c r="A43" s="36" t="s">
        <v>8</v>
      </c>
    </row>
  </sheetData>
  <mergeCells count="14">
    <mergeCell ref="I23:I24"/>
    <mergeCell ref="J23:J24"/>
    <mergeCell ref="J26:J30"/>
    <mergeCell ref="A31:G31"/>
    <mergeCell ref="A3:J3"/>
    <mergeCell ref="A4:J4"/>
    <mergeCell ref="A5:J5"/>
    <mergeCell ref="A6:J6"/>
    <mergeCell ref="A17:J19"/>
    <mergeCell ref="A23:A24"/>
    <mergeCell ref="B23:C23"/>
    <mergeCell ref="D23:E23"/>
    <mergeCell ref="F23:G23"/>
    <mergeCell ref="H23:H24"/>
  </mergeCells>
  <pageMargins left="0.7" right="0.14000000000000001" top="0.75" bottom="0.75" header="0.3" footer="0.3"/>
  <pageSetup paperSize="9" scale="80"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4BF77-052D-41B6-84CB-00AF89A9F335}">
  <sheetPr>
    <tabColor theme="8"/>
  </sheetPr>
  <dimension ref="A2:J43"/>
  <sheetViews>
    <sheetView view="pageBreakPreview" topLeftCell="A7" zoomScale="115" zoomScaleNormal="100" zoomScaleSheetLayoutView="115" workbookViewId="0">
      <selection activeCell="C16" sqref="C16"/>
    </sheetView>
  </sheetViews>
  <sheetFormatPr defaultColWidth="8.796875" defaultRowHeight="13" x14ac:dyDescent="0.3"/>
  <cols>
    <col min="1" max="1" width="4" style="36" customWidth="1"/>
    <col min="2" max="2" width="23.296875" style="36" customWidth="1"/>
    <col min="3" max="3" width="15.296875" style="36" customWidth="1"/>
    <col min="4" max="4" width="13.796875" style="36" customWidth="1"/>
    <col min="5" max="5" width="11.796875" style="36" customWidth="1"/>
    <col min="6" max="6" width="8.19921875" style="36" customWidth="1"/>
    <col min="7" max="7" width="11.296875" style="36" bestFit="1" customWidth="1"/>
    <col min="8" max="9" width="12" style="36" customWidth="1"/>
    <col min="10" max="10" width="18.796875" style="36" customWidth="1"/>
    <col min="11" max="16384" width="8.796875" style="36"/>
  </cols>
  <sheetData>
    <row r="2" spans="1:10" x14ac:dyDescent="0.3">
      <c r="J2" s="37" t="s">
        <v>24</v>
      </c>
    </row>
    <row r="3" spans="1:10" x14ac:dyDescent="0.3">
      <c r="A3" s="109" t="s">
        <v>0</v>
      </c>
      <c r="B3" s="109"/>
      <c r="C3" s="109"/>
      <c r="D3" s="109"/>
      <c r="E3" s="109"/>
      <c r="F3" s="109"/>
      <c r="G3" s="109"/>
      <c r="H3" s="109"/>
      <c r="I3" s="109"/>
      <c r="J3" s="109"/>
    </row>
    <row r="4" spans="1:10" x14ac:dyDescent="0.3">
      <c r="A4" s="109" t="s">
        <v>1</v>
      </c>
      <c r="B4" s="109"/>
      <c r="C4" s="109"/>
      <c r="D4" s="109"/>
      <c r="E4" s="109"/>
      <c r="F4" s="109"/>
      <c r="G4" s="109"/>
      <c r="H4" s="109"/>
      <c r="I4" s="109"/>
      <c r="J4" s="109"/>
    </row>
    <row r="5" spans="1:10" x14ac:dyDescent="0.3">
      <c r="A5" s="109" t="s">
        <v>2</v>
      </c>
      <c r="B5" s="109"/>
      <c r="C5" s="109"/>
      <c r="D5" s="109"/>
      <c r="E5" s="109"/>
      <c r="F5" s="109"/>
      <c r="G5" s="109"/>
      <c r="H5" s="109"/>
      <c r="I5" s="109"/>
      <c r="J5" s="109"/>
    </row>
    <row r="6" spans="1:10" x14ac:dyDescent="0.3">
      <c r="A6" s="109" t="s">
        <v>3</v>
      </c>
      <c r="B6" s="109"/>
      <c r="C6" s="109"/>
      <c r="D6" s="109"/>
      <c r="E6" s="109"/>
      <c r="F6" s="109"/>
      <c r="G6" s="109"/>
      <c r="H6" s="109"/>
      <c r="I6" s="109"/>
      <c r="J6" s="109"/>
    </row>
    <row r="9" spans="1:10" x14ac:dyDescent="0.3">
      <c r="A9" s="36" t="s">
        <v>12</v>
      </c>
      <c r="D9" s="36" t="s">
        <v>37</v>
      </c>
    </row>
    <row r="11" spans="1:10" x14ac:dyDescent="0.3">
      <c r="A11" s="36" t="s">
        <v>11</v>
      </c>
      <c r="D11" s="36" t="s">
        <v>38</v>
      </c>
    </row>
    <row r="13" spans="1:10" x14ac:dyDescent="0.3">
      <c r="A13" s="36" t="s">
        <v>10</v>
      </c>
      <c r="D13" s="36" t="s">
        <v>39</v>
      </c>
    </row>
    <row r="15" spans="1:10" x14ac:dyDescent="0.3">
      <c r="A15" s="36" t="s">
        <v>5</v>
      </c>
      <c r="C15" s="36" t="e">
        <f>'sample VDS_format'!#REF!</f>
        <v>#REF!</v>
      </c>
      <c r="I15" s="65" t="s">
        <v>43</v>
      </c>
      <c r="J15" s="67" t="e">
        <f>'sample VDS_format'!#REF!</f>
        <v>#REF!</v>
      </c>
    </row>
    <row r="17" spans="1:10" x14ac:dyDescent="0.3">
      <c r="A17" s="110" t="s">
        <v>4</v>
      </c>
      <c r="B17" s="110"/>
      <c r="C17" s="110"/>
      <c r="D17" s="110"/>
      <c r="E17" s="110"/>
      <c r="F17" s="110"/>
      <c r="G17" s="110"/>
      <c r="H17" s="110"/>
      <c r="I17" s="110"/>
      <c r="J17" s="110"/>
    </row>
    <row r="18" spans="1:10" x14ac:dyDescent="0.3">
      <c r="A18" s="110"/>
      <c r="B18" s="110"/>
      <c r="C18" s="110"/>
      <c r="D18" s="110"/>
      <c r="E18" s="110"/>
      <c r="F18" s="110"/>
      <c r="G18" s="110"/>
      <c r="H18" s="110"/>
      <c r="I18" s="110"/>
      <c r="J18" s="110"/>
    </row>
    <row r="19" spans="1:10" x14ac:dyDescent="0.3">
      <c r="A19" s="110"/>
      <c r="B19" s="110"/>
      <c r="C19" s="110"/>
      <c r="D19" s="110"/>
      <c r="E19" s="110"/>
      <c r="F19" s="110"/>
      <c r="G19" s="110"/>
      <c r="H19" s="110"/>
      <c r="I19" s="110"/>
      <c r="J19" s="110"/>
    </row>
    <row r="23" spans="1:10" ht="30.65" customHeight="1" x14ac:dyDescent="0.3">
      <c r="A23" s="102" t="s">
        <v>13</v>
      </c>
      <c r="B23" s="112" t="s">
        <v>14</v>
      </c>
      <c r="C23" s="113"/>
      <c r="D23" s="112" t="s">
        <v>15</v>
      </c>
      <c r="E23" s="113"/>
      <c r="F23" s="114" t="s">
        <v>22</v>
      </c>
      <c r="G23" s="115"/>
      <c r="H23" s="102" t="s">
        <v>9</v>
      </c>
      <c r="I23" s="100" t="s">
        <v>23</v>
      </c>
      <c r="J23" s="102" t="s">
        <v>16</v>
      </c>
    </row>
    <row r="24" spans="1:10" ht="16.399999999999999" customHeight="1" x14ac:dyDescent="0.3">
      <c r="A24" s="111"/>
      <c r="B24" s="38" t="s">
        <v>17</v>
      </c>
      <c r="C24" s="38" t="s">
        <v>18</v>
      </c>
      <c r="D24" s="38" t="s">
        <v>19</v>
      </c>
      <c r="E24" s="38" t="s">
        <v>20</v>
      </c>
      <c r="F24" s="38" t="s">
        <v>19</v>
      </c>
      <c r="G24" s="38" t="s">
        <v>20</v>
      </c>
      <c r="H24" s="101"/>
      <c r="I24" s="101"/>
      <c r="J24" s="103"/>
    </row>
    <row r="25" spans="1:10" ht="29" customHeight="1" x14ac:dyDescent="0.3">
      <c r="A25" s="62">
        <v>1</v>
      </c>
      <c r="B25" s="88" t="e">
        <f>'sample VDS_format'!#REF!</f>
        <v>#REF!</v>
      </c>
      <c r="C25" s="89" t="e">
        <f>'sample VDS_format'!#REF!</f>
        <v>#REF!</v>
      </c>
      <c r="D25" s="88" t="e">
        <f>'sample VDS_format'!#REF!</f>
        <v>#REF!</v>
      </c>
      <c r="E25" s="90" t="e">
        <f>'sample VDS_format'!#REF!</f>
        <v>#REF!</v>
      </c>
      <c r="F25" s="97"/>
      <c r="G25" s="98"/>
      <c r="H25" s="97" t="e">
        <f>'sample VDS_format'!#REF!</f>
        <v>#REF!</v>
      </c>
      <c r="I25" s="97" t="e">
        <f>'sample VDS_format'!#REF!</f>
        <v>#REF!</v>
      </c>
      <c r="J25" s="42" t="e">
        <f>SUM(I25:I26)</f>
        <v>#REF!</v>
      </c>
    </row>
    <row r="26" spans="1:10" ht="26" customHeight="1" x14ac:dyDescent="0.3">
      <c r="A26" s="86"/>
      <c r="B26" s="92"/>
      <c r="C26" s="89"/>
      <c r="D26" s="92"/>
      <c r="E26" s="93"/>
      <c r="F26" s="91"/>
      <c r="G26" s="91"/>
      <c r="H26" s="94"/>
      <c r="I26" s="94"/>
      <c r="J26" s="104" t="s">
        <v>48</v>
      </c>
    </row>
    <row r="27" spans="1:10" ht="26" customHeight="1" x14ac:dyDescent="0.3">
      <c r="A27" s="63"/>
      <c r="B27" s="46"/>
      <c r="C27" s="42"/>
      <c r="D27" s="46"/>
      <c r="E27" s="87"/>
      <c r="F27" s="42"/>
      <c r="G27" s="42"/>
      <c r="H27" s="42"/>
      <c r="I27" s="42"/>
      <c r="J27" s="104"/>
    </row>
    <row r="28" spans="1:10" ht="15.5" customHeight="1" x14ac:dyDescent="0.3">
      <c r="A28" s="48"/>
      <c r="B28" s="49"/>
      <c r="C28" s="50"/>
      <c r="D28" s="50"/>
      <c r="E28" s="50"/>
      <c r="F28" s="51"/>
      <c r="G28" s="52"/>
      <c r="H28" s="53"/>
      <c r="I28" s="54"/>
      <c r="J28" s="104"/>
    </row>
    <row r="29" spans="1:10" ht="15.5" customHeight="1" x14ac:dyDescent="0.3">
      <c r="A29" s="48"/>
      <c r="B29" s="49"/>
      <c r="C29" s="50"/>
      <c r="D29" s="50"/>
      <c r="E29" s="50"/>
      <c r="F29" s="51"/>
      <c r="G29" s="52"/>
      <c r="H29" s="53"/>
      <c r="I29" s="54"/>
      <c r="J29" s="104"/>
    </row>
    <row r="30" spans="1:10" ht="36" customHeight="1" x14ac:dyDescent="0.3">
      <c r="A30" s="55"/>
      <c r="B30" s="56"/>
      <c r="C30" s="57"/>
      <c r="D30" s="57"/>
      <c r="E30" s="57"/>
      <c r="F30" s="58"/>
      <c r="G30" s="59"/>
      <c r="H30" s="17"/>
      <c r="I30" s="60"/>
      <c r="J30" s="105"/>
    </row>
    <row r="31" spans="1:10" ht="13.5" customHeight="1" x14ac:dyDescent="0.3">
      <c r="A31" s="106" t="s">
        <v>21</v>
      </c>
      <c r="B31" s="107"/>
      <c r="C31" s="107"/>
      <c r="D31" s="107"/>
      <c r="E31" s="107"/>
      <c r="F31" s="107"/>
      <c r="G31" s="108"/>
      <c r="H31" s="31" t="e">
        <f>SUM(H25:H30)</f>
        <v>#REF!</v>
      </c>
      <c r="I31" s="32" t="e">
        <f>SUM(I25:I30)</f>
        <v>#REF!</v>
      </c>
      <c r="J31" s="34"/>
    </row>
    <row r="34" spans="1:1" x14ac:dyDescent="0.3">
      <c r="A34" s="36" t="s">
        <v>6</v>
      </c>
    </row>
    <row r="35" spans="1:1" x14ac:dyDescent="0.3">
      <c r="A35" s="36" t="s">
        <v>7</v>
      </c>
    </row>
    <row r="39" spans="1:1" x14ac:dyDescent="0.3">
      <c r="A39" s="36" t="s">
        <v>40</v>
      </c>
    </row>
    <row r="40" spans="1:1" x14ac:dyDescent="0.3">
      <c r="A40" s="36" t="s">
        <v>41</v>
      </c>
    </row>
    <row r="43" spans="1:1" x14ac:dyDescent="0.3">
      <c r="A43" s="36" t="s">
        <v>8</v>
      </c>
    </row>
  </sheetData>
  <mergeCells count="14">
    <mergeCell ref="I23:I24"/>
    <mergeCell ref="J23:J24"/>
    <mergeCell ref="J26:J30"/>
    <mergeCell ref="A31:G31"/>
    <mergeCell ref="A3:J3"/>
    <mergeCell ref="A4:J4"/>
    <mergeCell ref="A5:J5"/>
    <mergeCell ref="A6:J6"/>
    <mergeCell ref="A17:J19"/>
    <mergeCell ref="A23:A24"/>
    <mergeCell ref="B23:C23"/>
    <mergeCell ref="D23:E23"/>
    <mergeCell ref="F23:G23"/>
    <mergeCell ref="H23:H24"/>
  </mergeCells>
  <pageMargins left="0.7" right="0.14000000000000001" top="0.75" bottom="0.75" header="0.3" footer="0.3"/>
  <pageSetup paperSize="9" scale="80"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96372-FEAA-4701-9C3A-9028B6F40567}">
  <sheetPr>
    <tabColor theme="8"/>
  </sheetPr>
  <dimension ref="A2:J43"/>
  <sheetViews>
    <sheetView view="pageBreakPreview" topLeftCell="A12" zoomScaleNormal="100" zoomScaleSheetLayoutView="100" workbookViewId="0">
      <selection activeCell="F20" sqref="F20"/>
    </sheetView>
  </sheetViews>
  <sheetFormatPr defaultColWidth="8.796875" defaultRowHeight="13" x14ac:dyDescent="0.3"/>
  <cols>
    <col min="1" max="1" width="4" style="36" customWidth="1"/>
    <col min="2" max="2" width="23.296875" style="36" customWidth="1"/>
    <col min="3" max="3" width="15.296875" style="36" customWidth="1"/>
    <col min="4" max="4" width="13.796875" style="36" customWidth="1"/>
    <col min="5" max="5" width="11.796875" style="36" customWidth="1"/>
    <col min="6" max="6" width="8.19921875" style="36" customWidth="1"/>
    <col min="7" max="7" width="11.296875" style="36" bestFit="1" customWidth="1"/>
    <col min="8" max="9" width="12" style="36" customWidth="1"/>
    <col min="10" max="10" width="18.796875" style="36" customWidth="1"/>
    <col min="11" max="16384" width="8.796875" style="36"/>
  </cols>
  <sheetData>
    <row r="2" spans="1:10" x14ac:dyDescent="0.3">
      <c r="J2" s="37" t="s">
        <v>24</v>
      </c>
    </row>
    <row r="3" spans="1:10" x14ac:dyDescent="0.3">
      <c r="A3" s="109" t="s">
        <v>0</v>
      </c>
      <c r="B3" s="109"/>
      <c r="C3" s="109"/>
      <c r="D3" s="109"/>
      <c r="E3" s="109"/>
      <c r="F3" s="109"/>
      <c r="G3" s="109"/>
      <c r="H3" s="109"/>
      <c r="I3" s="109"/>
      <c r="J3" s="109"/>
    </row>
    <row r="4" spans="1:10" x14ac:dyDescent="0.3">
      <c r="A4" s="109" t="s">
        <v>1</v>
      </c>
      <c r="B4" s="109"/>
      <c r="C4" s="109"/>
      <c r="D4" s="109"/>
      <c r="E4" s="109"/>
      <c r="F4" s="109"/>
      <c r="G4" s="109"/>
      <c r="H4" s="109"/>
      <c r="I4" s="109"/>
      <c r="J4" s="109"/>
    </row>
    <row r="5" spans="1:10" x14ac:dyDescent="0.3">
      <c r="A5" s="109" t="s">
        <v>2</v>
      </c>
      <c r="B5" s="109"/>
      <c r="C5" s="109"/>
      <c r="D5" s="109"/>
      <c r="E5" s="109"/>
      <c r="F5" s="109"/>
      <c r="G5" s="109"/>
      <c r="H5" s="109"/>
      <c r="I5" s="109"/>
      <c r="J5" s="109"/>
    </row>
    <row r="6" spans="1:10" x14ac:dyDescent="0.3">
      <c r="A6" s="109" t="s">
        <v>3</v>
      </c>
      <c r="B6" s="109"/>
      <c r="C6" s="109"/>
      <c r="D6" s="109"/>
      <c r="E6" s="109"/>
      <c r="F6" s="109"/>
      <c r="G6" s="109"/>
      <c r="H6" s="109"/>
      <c r="I6" s="109"/>
      <c r="J6" s="109"/>
    </row>
    <row r="9" spans="1:10" x14ac:dyDescent="0.3">
      <c r="A9" s="36" t="s">
        <v>12</v>
      </c>
      <c r="D9" s="36" t="s">
        <v>37</v>
      </c>
    </row>
    <row r="11" spans="1:10" x14ac:dyDescent="0.3">
      <c r="A11" s="36" t="s">
        <v>11</v>
      </c>
      <c r="D11" s="36" t="s">
        <v>38</v>
      </c>
    </row>
    <row r="13" spans="1:10" x14ac:dyDescent="0.3">
      <c r="A13" s="36" t="s">
        <v>10</v>
      </c>
      <c r="D13" s="36" t="s">
        <v>39</v>
      </c>
    </row>
    <row r="15" spans="1:10" x14ac:dyDescent="0.3">
      <c r="A15" s="36" t="s">
        <v>5</v>
      </c>
      <c r="C15" s="36" t="e">
        <f>'sample VDS_format'!#REF!</f>
        <v>#REF!</v>
      </c>
      <c r="I15" s="65" t="s">
        <v>43</v>
      </c>
      <c r="J15" s="67" t="e">
        <f>'sample VDS_format'!#REF!</f>
        <v>#REF!</v>
      </c>
    </row>
    <row r="17" spans="1:10" x14ac:dyDescent="0.3">
      <c r="A17" s="110" t="s">
        <v>4</v>
      </c>
      <c r="B17" s="110"/>
      <c r="C17" s="110"/>
      <c r="D17" s="110"/>
      <c r="E17" s="110"/>
      <c r="F17" s="110"/>
      <c r="G17" s="110"/>
      <c r="H17" s="110"/>
      <c r="I17" s="110"/>
      <c r="J17" s="110"/>
    </row>
    <row r="18" spans="1:10" x14ac:dyDescent="0.3">
      <c r="A18" s="110"/>
      <c r="B18" s="110"/>
      <c r="C18" s="110"/>
      <c r="D18" s="110"/>
      <c r="E18" s="110"/>
      <c r="F18" s="110"/>
      <c r="G18" s="110"/>
      <c r="H18" s="110"/>
      <c r="I18" s="110"/>
      <c r="J18" s="110"/>
    </row>
    <row r="19" spans="1:10" x14ac:dyDescent="0.3">
      <c r="A19" s="110"/>
      <c r="B19" s="110"/>
      <c r="C19" s="110"/>
      <c r="D19" s="110"/>
      <c r="E19" s="110"/>
      <c r="F19" s="110"/>
      <c r="G19" s="110"/>
      <c r="H19" s="110"/>
      <c r="I19" s="110"/>
      <c r="J19" s="110"/>
    </row>
    <row r="23" spans="1:10" ht="30.65" customHeight="1" x14ac:dyDescent="0.3">
      <c r="A23" s="102" t="s">
        <v>13</v>
      </c>
      <c r="B23" s="112" t="s">
        <v>14</v>
      </c>
      <c r="C23" s="113"/>
      <c r="D23" s="112" t="s">
        <v>15</v>
      </c>
      <c r="E23" s="113"/>
      <c r="F23" s="114" t="s">
        <v>22</v>
      </c>
      <c r="G23" s="115"/>
      <c r="H23" s="102" t="s">
        <v>9</v>
      </c>
      <c r="I23" s="100" t="s">
        <v>23</v>
      </c>
      <c r="J23" s="102" t="s">
        <v>16</v>
      </c>
    </row>
    <row r="24" spans="1:10" ht="16.399999999999999" customHeight="1" x14ac:dyDescent="0.3">
      <c r="A24" s="111"/>
      <c r="B24" s="38" t="s">
        <v>17</v>
      </c>
      <c r="C24" s="38" t="s">
        <v>18</v>
      </c>
      <c r="D24" s="38" t="s">
        <v>19</v>
      </c>
      <c r="E24" s="38" t="s">
        <v>20</v>
      </c>
      <c r="F24" s="38" t="s">
        <v>19</v>
      </c>
      <c r="G24" s="38" t="s">
        <v>20</v>
      </c>
      <c r="H24" s="101"/>
      <c r="I24" s="101"/>
      <c r="J24" s="103"/>
    </row>
    <row r="25" spans="1:10" ht="29" customHeight="1" x14ac:dyDescent="0.3">
      <c r="A25" s="62">
        <v>1</v>
      </c>
      <c r="B25" s="88" t="e">
        <f>'sample VDS_format'!#REF!</f>
        <v>#REF!</v>
      </c>
      <c r="C25" s="89" t="e">
        <f>'sample VDS_format'!#REF!</f>
        <v>#REF!</v>
      </c>
      <c r="D25" s="88" t="e">
        <f>'sample VDS_format'!#REF!</f>
        <v>#REF!</v>
      </c>
      <c r="E25" s="90" t="e">
        <f>'sample VDS_format'!#REF!</f>
        <v>#REF!</v>
      </c>
      <c r="F25" s="97" t="e">
        <f>'sample VDS_format'!#REF!</f>
        <v>#REF!</v>
      </c>
      <c r="G25" s="97" t="e">
        <f>'sample VDS_format'!#REF!</f>
        <v>#REF!</v>
      </c>
      <c r="H25" s="97" t="e">
        <f>'sample VDS_format'!#REF!</f>
        <v>#REF!</v>
      </c>
      <c r="I25" s="97" t="e">
        <f>'sample VDS_format'!#REF!</f>
        <v>#REF!</v>
      </c>
      <c r="J25" s="42" t="e">
        <f>SUM(I25:I26)</f>
        <v>#REF!</v>
      </c>
    </row>
    <row r="26" spans="1:10" ht="26" customHeight="1" x14ac:dyDescent="0.3">
      <c r="A26" s="86"/>
      <c r="B26" s="92"/>
      <c r="C26" s="89"/>
      <c r="D26" s="92"/>
      <c r="E26" s="93"/>
      <c r="F26" s="91"/>
      <c r="G26" s="91"/>
      <c r="H26" s="94"/>
      <c r="I26" s="94"/>
      <c r="J26" s="104" t="s">
        <v>45</v>
      </c>
    </row>
    <row r="27" spans="1:10" ht="26" customHeight="1" x14ac:dyDescent="0.3">
      <c r="A27" s="63"/>
      <c r="B27" s="46"/>
      <c r="C27" s="42"/>
      <c r="D27" s="46"/>
      <c r="E27" s="87"/>
      <c r="F27" s="42"/>
      <c r="G27" s="42"/>
      <c r="H27" s="42"/>
      <c r="I27" s="42"/>
      <c r="J27" s="104"/>
    </row>
    <row r="28" spans="1:10" ht="15.5" customHeight="1" x14ac:dyDescent="0.3">
      <c r="A28" s="48"/>
      <c r="B28" s="49"/>
      <c r="C28" s="50"/>
      <c r="D28" s="50"/>
      <c r="E28" s="50"/>
      <c r="F28" s="51"/>
      <c r="G28" s="52"/>
      <c r="H28" s="53"/>
      <c r="I28" s="54"/>
      <c r="J28" s="104"/>
    </row>
    <row r="29" spans="1:10" ht="15.5" customHeight="1" x14ac:dyDescent="0.3">
      <c r="A29" s="48"/>
      <c r="B29" s="49"/>
      <c r="C29" s="50"/>
      <c r="D29" s="50"/>
      <c r="E29" s="50"/>
      <c r="F29" s="51"/>
      <c r="G29" s="52"/>
      <c r="H29" s="53"/>
      <c r="I29" s="54"/>
      <c r="J29" s="104"/>
    </row>
    <row r="30" spans="1:10" ht="36" customHeight="1" x14ac:dyDescent="0.3">
      <c r="A30" s="55"/>
      <c r="B30" s="56"/>
      <c r="C30" s="57"/>
      <c r="D30" s="57"/>
      <c r="E30" s="57"/>
      <c r="F30" s="58"/>
      <c r="G30" s="59"/>
      <c r="H30" s="17"/>
      <c r="I30" s="60"/>
      <c r="J30" s="105"/>
    </row>
    <row r="31" spans="1:10" ht="13.5" customHeight="1" x14ac:dyDescent="0.3">
      <c r="A31" s="106" t="s">
        <v>21</v>
      </c>
      <c r="B31" s="107"/>
      <c r="C31" s="107"/>
      <c r="D31" s="107"/>
      <c r="E31" s="107"/>
      <c r="F31" s="107"/>
      <c r="G31" s="108"/>
      <c r="H31" s="31" t="e">
        <f>SUM(H25:H30)</f>
        <v>#REF!</v>
      </c>
      <c r="I31" s="32" t="e">
        <f>SUM(I25:I30)</f>
        <v>#REF!</v>
      </c>
      <c r="J31" s="34"/>
    </row>
    <row r="34" spans="1:1" x14ac:dyDescent="0.3">
      <c r="A34" s="36" t="s">
        <v>6</v>
      </c>
    </row>
    <row r="35" spans="1:1" x14ac:dyDescent="0.3">
      <c r="A35" s="36" t="s">
        <v>7</v>
      </c>
    </row>
    <row r="39" spans="1:1" x14ac:dyDescent="0.3">
      <c r="A39" s="36" t="s">
        <v>40</v>
      </c>
    </row>
    <row r="40" spans="1:1" x14ac:dyDescent="0.3">
      <c r="A40" s="36" t="s">
        <v>41</v>
      </c>
    </row>
    <row r="43" spans="1:1" x14ac:dyDescent="0.3">
      <c r="A43" s="36" t="s">
        <v>8</v>
      </c>
    </row>
  </sheetData>
  <mergeCells count="14">
    <mergeCell ref="I23:I24"/>
    <mergeCell ref="J23:J24"/>
    <mergeCell ref="J26:J30"/>
    <mergeCell ref="A31:G31"/>
    <mergeCell ref="A3:J3"/>
    <mergeCell ref="A4:J4"/>
    <mergeCell ref="A5:J5"/>
    <mergeCell ref="A6:J6"/>
    <mergeCell ref="A17:J19"/>
    <mergeCell ref="A23:A24"/>
    <mergeCell ref="B23:C23"/>
    <mergeCell ref="D23:E23"/>
    <mergeCell ref="F23:G23"/>
    <mergeCell ref="H23:H24"/>
  </mergeCells>
  <pageMargins left="0.7" right="0.14000000000000001" top="0.75" bottom="0.75" header="0.3" footer="0.3"/>
  <pageSetup paperSize="9" scale="80"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9"/>
  </sheetPr>
  <dimension ref="A1:M5"/>
  <sheetViews>
    <sheetView tabSelected="1" view="pageBreakPreview" zoomScaleNormal="100" zoomScaleSheetLayoutView="100" workbookViewId="0">
      <selection activeCell="B11" sqref="B11"/>
    </sheetView>
  </sheetViews>
  <sheetFormatPr defaultColWidth="10.09765625" defaultRowHeight="17" x14ac:dyDescent="0.4"/>
  <cols>
    <col min="1" max="1" width="6.3984375" style="23" customWidth="1"/>
    <col min="2" max="2" width="28.3984375" style="70" customWidth="1"/>
    <col min="3" max="3" width="23.8984375" style="23" customWidth="1"/>
    <col min="4" max="4" width="19.69921875" style="70" customWidth="1"/>
    <col min="5" max="5" width="12.3984375" style="23" bestFit="1" customWidth="1"/>
    <col min="6" max="6" width="19.19921875" style="23" customWidth="1"/>
    <col min="7" max="7" width="19.3984375" style="23" customWidth="1"/>
    <col min="8" max="8" width="18.19921875" style="68" bestFit="1" customWidth="1"/>
    <col min="9" max="9" width="16.796875" style="68" bestFit="1" customWidth="1"/>
    <col min="10" max="10" width="18.19921875" style="68" bestFit="1" customWidth="1"/>
    <col min="11" max="11" width="11.796875" style="35" bestFit="1" customWidth="1"/>
    <col min="12" max="12" width="18.3984375" style="35" bestFit="1" customWidth="1"/>
    <col min="13" max="13" width="17.59765625" style="23" customWidth="1"/>
    <col min="14" max="16384" width="10.09765625" style="69"/>
  </cols>
  <sheetData>
    <row r="1" spans="1:13" x14ac:dyDescent="0.4">
      <c r="A1" s="71"/>
      <c r="B1" s="72"/>
      <c r="C1" s="71"/>
      <c r="D1" s="72"/>
      <c r="E1" s="71"/>
      <c r="F1" s="71"/>
      <c r="G1" s="71"/>
      <c r="H1" s="73"/>
      <c r="I1" s="73"/>
      <c r="J1" s="73"/>
      <c r="K1" s="74"/>
      <c r="L1" s="74"/>
      <c r="M1" s="71"/>
    </row>
    <row r="2" spans="1:13" x14ac:dyDescent="0.4">
      <c r="A2" s="75" t="s">
        <v>25</v>
      </c>
      <c r="B2" s="76"/>
      <c r="C2" s="75"/>
      <c r="D2" s="76"/>
      <c r="E2" s="75"/>
      <c r="F2" s="75"/>
      <c r="G2" s="75"/>
      <c r="H2" s="75"/>
      <c r="I2" s="75"/>
      <c r="J2" s="73"/>
      <c r="K2" s="74"/>
      <c r="L2" s="74"/>
      <c r="M2" s="71"/>
    </row>
    <row r="3" spans="1:13" ht="51" x14ac:dyDescent="0.4">
      <c r="A3" s="77" t="s">
        <v>26</v>
      </c>
      <c r="B3" s="77" t="s">
        <v>27</v>
      </c>
      <c r="C3" s="77" t="s">
        <v>28</v>
      </c>
      <c r="D3" s="77" t="s">
        <v>29</v>
      </c>
      <c r="E3" s="77" t="s">
        <v>30</v>
      </c>
      <c r="F3" s="77" t="s">
        <v>32</v>
      </c>
      <c r="G3" s="77" t="s">
        <v>33</v>
      </c>
      <c r="H3" s="78" t="s">
        <v>34</v>
      </c>
      <c r="I3" s="78" t="s">
        <v>31</v>
      </c>
      <c r="J3" s="78" t="s">
        <v>35</v>
      </c>
      <c r="K3" s="75" t="s">
        <v>36</v>
      </c>
      <c r="L3" s="77" t="s">
        <v>42</v>
      </c>
      <c r="M3" s="79" t="s">
        <v>44</v>
      </c>
    </row>
    <row r="4" spans="1:13" ht="34" x14ac:dyDescent="0.4">
      <c r="A4" s="80">
        <v>1</v>
      </c>
      <c r="B4" s="81" t="s">
        <v>54</v>
      </c>
      <c r="C4" s="80" t="s">
        <v>53</v>
      </c>
      <c r="D4" s="99" t="s">
        <v>56</v>
      </c>
      <c r="E4" s="82" t="s">
        <v>55</v>
      </c>
      <c r="F4" s="80"/>
      <c r="G4" s="83"/>
      <c r="H4" s="84">
        <f t="shared" ref="H4" si="0">J4+I4</f>
        <v>11935</v>
      </c>
      <c r="I4" s="85">
        <v>1085</v>
      </c>
      <c r="J4" s="84">
        <f t="shared" ref="J4" si="1">I4/K4</f>
        <v>10850</v>
      </c>
      <c r="K4" s="96">
        <v>0.1</v>
      </c>
      <c r="L4" s="95" t="s">
        <v>57</v>
      </c>
      <c r="M4" s="80" t="s">
        <v>58</v>
      </c>
    </row>
  </sheetData>
  <autoFilter ref="A3:J3" xr:uid="{00000000-0009-0000-0000-000014000000}">
    <sortState xmlns:xlrd2="http://schemas.microsoft.com/office/spreadsheetml/2017/richdata2" ref="A4:J23">
      <sortCondition ref="B3"/>
    </sortState>
  </autoFilter>
  <phoneticPr fontId="16" type="noConversion"/>
  <pageMargins left="0.7" right="0.7" top="0.75" bottom="0.75" header="0.3" footer="0.3"/>
  <pageSetup paperSize="9" scale="3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8</vt:i4>
      </vt:variant>
    </vt:vector>
  </HeadingPairs>
  <TitlesOfParts>
    <vt:vector size="17" baseType="lpstr">
      <vt:lpstr>Cleaning Service (Lily)</vt:lpstr>
      <vt:lpstr>Service Charge</vt:lpstr>
      <vt:lpstr>Mohammad Ali</vt:lpstr>
      <vt:lpstr>Repairing or Servicing-Electra</vt:lpstr>
      <vt:lpstr>Cleaning Service (Anika)</vt:lpstr>
      <vt:lpstr>BRACNet</vt:lpstr>
      <vt:lpstr>Computer Expense</vt:lpstr>
      <vt:lpstr>BD Graph</vt:lpstr>
      <vt:lpstr>sample VDS_format</vt:lpstr>
      <vt:lpstr>'BD Graph'!Print_Area</vt:lpstr>
      <vt:lpstr>BRACNet!Print_Area</vt:lpstr>
      <vt:lpstr>'Cleaning Service (Lily)'!Print_Area</vt:lpstr>
      <vt:lpstr>'Computer Expense'!Print_Area</vt:lpstr>
      <vt:lpstr>'Mohammad Ali'!Print_Area</vt:lpstr>
      <vt:lpstr>'Repairing or Servicing-Electra'!Print_Area</vt:lpstr>
      <vt:lpstr>'sample VDS_format'!Print_Area</vt:lpstr>
      <vt:lpstr>'Service Charge'!Print_Area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Mohammad Al Amin</dc:creator>
  <cp:lastModifiedBy>USER</cp:lastModifiedBy>
  <cp:lastPrinted>2023-12-11T05:51:44Z</cp:lastPrinted>
  <dcterms:created xsi:type="dcterms:W3CDTF">2021-11-18T05:04:58Z</dcterms:created>
  <dcterms:modified xsi:type="dcterms:W3CDTF">2026-07-22T05:37:30Z</dcterms:modified>
</cp:coreProperties>
</file>